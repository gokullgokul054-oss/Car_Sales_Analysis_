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gokul\Downloads\project for bi +sql\excel project\"/>
    </mc:Choice>
  </mc:AlternateContent>
  <xr:revisionPtr revIDLastSave="0" documentId="13_ncr:1_{CB5C574C-6FC5-4110-AC67-F718F92A5FA8}" xr6:coauthVersionLast="47" xr6:coauthVersionMax="47" xr10:uidLastSave="{00000000-0000-0000-0000-000000000000}"/>
  <bookViews>
    <workbookView xWindow="-108" yWindow="-108" windowWidth="23256" windowHeight="13176" tabRatio="500" activeTab="4" xr2:uid="{00000000-000D-0000-FFFF-FFFF00000000}"/>
  </bookViews>
  <sheets>
    <sheet name="Raw Data" sheetId="7" r:id="rId1"/>
    <sheet name="Cleaned Data" sheetId="5" r:id="rId2"/>
    <sheet name="Dashboard" sheetId="1" r:id="rId3"/>
    <sheet name="Analysis" sheetId="4" r:id="rId4"/>
    <sheet name="Lookup" sheetId="6" r:id="rId5"/>
    <sheet name="Business Answer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J1" i="6" l="1" a="1"/>
  <c r="BJ1" i="6" s="1"/>
  <c r="C20" i="6"/>
  <c r="B11" i="3"/>
  <c r="C14" i="6"/>
  <c r="C11" i="6"/>
  <c r="C9" i="6"/>
  <c r="C8" i="6"/>
  <c r="C7" i="6"/>
  <c r="V158" i="5"/>
  <c r="T158" i="5"/>
  <c r="S158" i="5"/>
  <c r="Q158" i="5"/>
  <c r="P158" i="5"/>
  <c r="U158" i="5" s="1"/>
  <c r="V157" i="5"/>
  <c r="T157" i="5"/>
  <c r="S157" i="5"/>
  <c r="W157" i="5" s="1"/>
  <c r="Q157" i="5"/>
  <c r="P157" i="5"/>
  <c r="U157" i="5" s="1"/>
  <c r="V156" i="5"/>
  <c r="T156" i="5"/>
  <c r="S156" i="5"/>
  <c r="W156" i="5" s="1"/>
  <c r="Q156" i="5"/>
  <c r="P156" i="5"/>
  <c r="U156" i="5" s="1"/>
  <c r="V155" i="5"/>
  <c r="T155" i="5"/>
  <c r="S155" i="5"/>
  <c r="W155" i="5" s="1"/>
  <c r="Q155" i="5"/>
  <c r="P155" i="5"/>
  <c r="U155" i="5" s="1"/>
  <c r="V154" i="5"/>
  <c r="T154" i="5"/>
  <c r="S154" i="5"/>
  <c r="W154" i="5" s="1"/>
  <c r="Q154" i="5"/>
  <c r="P154" i="5"/>
  <c r="U154" i="5" s="1"/>
  <c r="V153" i="5"/>
  <c r="T153" i="5"/>
  <c r="S153" i="5"/>
  <c r="Q153" i="5"/>
  <c r="P153" i="5"/>
  <c r="U153" i="5" s="1"/>
  <c r="V152" i="5"/>
  <c r="T152" i="5"/>
  <c r="S152" i="5"/>
  <c r="Q152" i="5"/>
  <c r="P152" i="5"/>
  <c r="U152" i="5" s="1"/>
  <c r="V151" i="5"/>
  <c r="U151" i="5"/>
  <c r="T151" i="5"/>
  <c r="S151" i="5"/>
  <c r="Q151" i="5"/>
  <c r="P151" i="5"/>
  <c r="V150" i="5"/>
  <c r="U150" i="5"/>
  <c r="T150" i="5"/>
  <c r="S150" i="5"/>
  <c r="Q150" i="5"/>
  <c r="P150" i="5"/>
  <c r="V149" i="5"/>
  <c r="U149" i="5"/>
  <c r="T149" i="5"/>
  <c r="S149" i="5"/>
  <c r="W149" i="5" s="1"/>
  <c r="Q149" i="5"/>
  <c r="P149" i="5"/>
  <c r="V148" i="5"/>
  <c r="T148" i="5"/>
  <c r="S148" i="5"/>
  <c r="W148" i="5" s="1"/>
  <c r="Q148" i="5"/>
  <c r="U148" i="5" s="1"/>
  <c r="P148" i="5"/>
  <c r="V147" i="5"/>
  <c r="T147" i="5"/>
  <c r="S147" i="5"/>
  <c r="W147" i="5" s="1"/>
  <c r="Q147" i="5"/>
  <c r="P147" i="5"/>
  <c r="U147" i="5" s="1"/>
  <c r="V146" i="5"/>
  <c r="T146" i="5"/>
  <c r="S146" i="5"/>
  <c r="W146" i="5" s="1"/>
  <c r="Q146" i="5"/>
  <c r="P146" i="5"/>
  <c r="U146" i="5" s="1"/>
  <c r="V145" i="5"/>
  <c r="T145" i="5"/>
  <c r="S145" i="5"/>
  <c r="Q145" i="5"/>
  <c r="P145" i="5"/>
  <c r="U145" i="5" s="1"/>
  <c r="V144" i="5"/>
  <c r="T144" i="5"/>
  <c r="S144" i="5"/>
  <c r="Q144" i="5"/>
  <c r="P144" i="5"/>
  <c r="U144" i="5" s="1"/>
  <c r="V143" i="5"/>
  <c r="U143" i="5"/>
  <c r="T143" i="5"/>
  <c r="S143" i="5"/>
  <c r="Q143" i="5"/>
  <c r="P143" i="5"/>
  <c r="V142" i="5"/>
  <c r="U142" i="5"/>
  <c r="T142" i="5"/>
  <c r="S142" i="5"/>
  <c r="Q142" i="5"/>
  <c r="P142" i="5"/>
  <c r="V141" i="5"/>
  <c r="U141" i="5"/>
  <c r="T141" i="5"/>
  <c r="S141" i="5"/>
  <c r="W141" i="5" s="1"/>
  <c r="Q141" i="5"/>
  <c r="P141" i="5"/>
  <c r="V140" i="5"/>
  <c r="T140" i="5"/>
  <c r="S140" i="5"/>
  <c r="W140" i="5" s="1"/>
  <c r="Q140" i="5"/>
  <c r="U140" i="5" s="1"/>
  <c r="P140" i="5"/>
  <c r="V139" i="5"/>
  <c r="C13" i="6" s="1"/>
  <c r="T139" i="5"/>
  <c r="C12" i="6" s="1"/>
  <c r="S139" i="5"/>
  <c r="C10" i="6" s="1"/>
  <c r="Q139" i="5"/>
  <c r="P139" i="5"/>
  <c r="U139" i="5" s="1"/>
  <c r="V138" i="5"/>
  <c r="T138" i="5"/>
  <c r="S138" i="5"/>
  <c r="W138" i="5" s="1"/>
  <c r="Q138" i="5"/>
  <c r="P138" i="5"/>
  <c r="U138" i="5" s="1"/>
  <c r="V137" i="5"/>
  <c r="T137" i="5"/>
  <c r="S137" i="5"/>
  <c r="Q137" i="5"/>
  <c r="P137" i="5"/>
  <c r="U137" i="5" s="1"/>
  <c r="V136" i="5"/>
  <c r="T136" i="5"/>
  <c r="S136" i="5"/>
  <c r="Q136" i="5"/>
  <c r="P136" i="5"/>
  <c r="U136" i="5" s="1"/>
  <c r="V135" i="5"/>
  <c r="U135" i="5"/>
  <c r="T135" i="5"/>
  <c r="S135" i="5"/>
  <c r="Q135" i="5"/>
  <c r="P135" i="5"/>
  <c r="V134" i="5"/>
  <c r="U134" i="5"/>
  <c r="T134" i="5"/>
  <c r="S134" i="5"/>
  <c r="Q134" i="5"/>
  <c r="P134" i="5"/>
  <c r="V133" i="5"/>
  <c r="U133" i="5"/>
  <c r="T133" i="5"/>
  <c r="S133" i="5"/>
  <c r="W133" i="5" s="1"/>
  <c r="Q133" i="5"/>
  <c r="P133" i="5"/>
  <c r="V132" i="5"/>
  <c r="T132" i="5"/>
  <c r="S132" i="5"/>
  <c r="W132" i="5" s="1"/>
  <c r="Q132" i="5"/>
  <c r="U132" i="5" s="1"/>
  <c r="P132" i="5"/>
  <c r="V131" i="5"/>
  <c r="T131" i="5"/>
  <c r="S131" i="5"/>
  <c r="W131" i="5" s="1"/>
  <c r="Q131" i="5"/>
  <c r="P131" i="5"/>
  <c r="U131" i="5" s="1"/>
  <c r="V130" i="5"/>
  <c r="T130" i="5"/>
  <c r="S130" i="5"/>
  <c r="W130" i="5" s="1"/>
  <c r="Q130" i="5"/>
  <c r="P130" i="5"/>
  <c r="U130" i="5" s="1"/>
  <c r="V129" i="5"/>
  <c r="T129" i="5"/>
  <c r="S129" i="5"/>
  <c r="Q129" i="5"/>
  <c r="P129" i="5"/>
  <c r="U129" i="5" s="1"/>
  <c r="V128" i="5"/>
  <c r="T128" i="5"/>
  <c r="S128" i="5"/>
  <c r="Q128" i="5"/>
  <c r="P128" i="5"/>
  <c r="U128" i="5" s="1"/>
  <c r="V127" i="5"/>
  <c r="U127" i="5"/>
  <c r="T127" i="5"/>
  <c r="S127" i="5"/>
  <c r="Q127" i="5"/>
  <c r="P127" i="5"/>
  <c r="V126" i="5"/>
  <c r="U126" i="5"/>
  <c r="T126" i="5"/>
  <c r="S126" i="5"/>
  <c r="Q126" i="5"/>
  <c r="P126" i="5"/>
  <c r="V125" i="5"/>
  <c r="U125" i="5"/>
  <c r="T125" i="5"/>
  <c r="S125" i="5"/>
  <c r="W125" i="5" s="1"/>
  <c r="Q125" i="5"/>
  <c r="P125" i="5"/>
  <c r="V124" i="5"/>
  <c r="T124" i="5"/>
  <c r="S124" i="5"/>
  <c r="W124" i="5" s="1"/>
  <c r="Q124" i="5"/>
  <c r="U124" i="5" s="1"/>
  <c r="P124" i="5"/>
  <c r="V123" i="5"/>
  <c r="T123" i="5"/>
  <c r="S123" i="5"/>
  <c r="W123" i="5" s="1"/>
  <c r="Q123" i="5"/>
  <c r="P123" i="5"/>
  <c r="U123" i="5" s="1"/>
  <c r="V122" i="5"/>
  <c r="T122" i="5"/>
  <c r="S122" i="5"/>
  <c r="W122" i="5" s="1"/>
  <c r="Q122" i="5"/>
  <c r="P122" i="5"/>
  <c r="U122" i="5" s="1"/>
  <c r="V121" i="5"/>
  <c r="T121" i="5"/>
  <c r="S121" i="5"/>
  <c r="Q121" i="5"/>
  <c r="P121" i="5"/>
  <c r="U121" i="5" s="1"/>
  <c r="V120" i="5"/>
  <c r="T120" i="5"/>
  <c r="S120" i="5"/>
  <c r="Q120" i="5"/>
  <c r="P120" i="5"/>
  <c r="U120" i="5" s="1"/>
  <c r="V119" i="5"/>
  <c r="U119" i="5"/>
  <c r="T119" i="5"/>
  <c r="S119" i="5"/>
  <c r="Q119" i="5"/>
  <c r="P119" i="5"/>
  <c r="V118" i="5"/>
  <c r="U118" i="5"/>
  <c r="T118" i="5"/>
  <c r="S118" i="5"/>
  <c r="Q118" i="5"/>
  <c r="P118" i="5"/>
  <c r="V117" i="5"/>
  <c r="U117" i="5"/>
  <c r="T117" i="5"/>
  <c r="S117" i="5"/>
  <c r="W117" i="5" s="1"/>
  <c r="Q117" i="5"/>
  <c r="P117" i="5"/>
  <c r="V116" i="5"/>
  <c r="T116" i="5"/>
  <c r="S116" i="5"/>
  <c r="W116" i="5" s="1"/>
  <c r="Q116" i="5"/>
  <c r="U116" i="5" s="1"/>
  <c r="P116" i="5"/>
  <c r="V115" i="5"/>
  <c r="T115" i="5"/>
  <c r="S115" i="5"/>
  <c r="W115" i="5" s="1"/>
  <c r="Q115" i="5"/>
  <c r="P115" i="5"/>
  <c r="U115" i="5" s="1"/>
  <c r="V114" i="5"/>
  <c r="T114" i="5"/>
  <c r="S114" i="5"/>
  <c r="W114" i="5" s="1"/>
  <c r="Q114" i="5"/>
  <c r="P114" i="5"/>
  <c r="U114" i="5" s="1"/>
  <c r="V113" i="5"/>
  <c r="T113" i="5"/>
  <c r="S113" i="5"/>
  <c r="Q113" i="5"/>
  <c r="P113" i="5"/>
  <c r="U113" i="5" s="1"/>
  <c r="V112" i="5"/>
  <c r="T112" i="5"/>
  <c r="S112" i="5"/>
  <c r="Q112" i="5"/>
  <c r="P112" i="5"/>
  <c r="U112" i="5" s="1"/>
  <c r="V111" i="5"/>
  <c r="U111" i="5"/>
  <c r="T111" i="5"/>
  <c r="S111" i="5"/>
  <c r="Q111" i="5"/>
  <c r="P111" i="5"/>
  <c r="V110" i="5"/>
  <c r="U110" i="5"/>
  <c r="T110" i="5"/>
  <c r="S110" i="5"/>
  <c r="Q110" i="5"/>
  <c r="P110" i="5"/>
  <c r="V109" i="5"/>
  <c r="U109" i="5"/>
  <c r="T109" i="5"/>
  <c r="S109" i="5"/>
  <c r="W109" i="5" s="1"/>
  <c r="Q109" i="5"/>
  <c r="P109" i="5"/>
  <c r="V108" i="5"/>
  <c r="T108" i="5"/>
  <c r="S108" i="5"/>
  <c r="W108" i="5" s="1"/>
  <c r="Q108" i="5"/>
  <c r="U108" i="5" s="1"/>
  <c r="P108" i="5"/>
  <c r="V107" i="5"/>
  <c r="T107" i="5"/>
  <c r="S107" i="5"/>
  <c r="W107" i="5" s="1"/>
  <c r="Q107" i="5"/>
  <c r="P107" i="5"/>
  <c r="U107" i="5" s="1"/>
  <c r="V106" i="5"/>
  <c r="T106" i="5"/>
  <c r="S106" i="5"/>
  <c r="W106" i="5" s="1"/>
  <c r="Q106" i="5"/>
  <c r="P106" i="5"/>
  <c r="U106" i="5" s="1"/>
  <c r="V105" i="5"/>
  <c r="T105" i="5"/>
  <c r="S105" i="5"/>
  <c r="Q105" i="5"/>
  <c r="P105" i="5"/>
  <c r="U105" i="5" s="1"/>
  <c r="V104" i="5"/>
  <c r="T104" i="5"/>
  <c r="S104" i="5"/>
  <c r="Q104" i="5"/>
  <c r="P104" i="5"/>
  <c r="U104" i="5" s="1"/>
  <c r="V103" i="5"/>
  <c r="U103" i="5"/>
  <c r="T103" i="5"/>
  <c r="S103" i="5"/>
  <c r="Q103" i="5"/>
  <c r="P103" i="5"/>
  <c r="V102" i="5"/>
  <c r="U102" i="5"/>
  <c r="T102" i="5"/>
  <c r="S102" i="5"/>
  <c r="Q102" i="5"/>
  <c r="P102" i="5"/>
  <c r="V101" i="5"/>
  <c r="U101" i="5"/>
  <c r="T101" i="5"/>
  <c r="S101" i="5"/>
  <c r="W101" i="5" s="1"/>
  <c r="Q101" i="5"/>
  <c r="P101" i="5"/>
  <c r="V100" i="5"/>
  <c r="T100" i="5"/>
  <c r="S100" i="5"/>
  <c r="W100" i="5" s="1"/>
  <c r="Q100" i="5"/>
  <c r="U100" i="5" s="1"/>
  <c r="P100" i="5"/>
  <c r="V99" i="5"/>
  <c r="T99" i="5"/>
  <c r="S99" i="5"/>
  <c r="W99" i="5" s="1"/>
  <c r="Q99" i="5"/>
  <c r="P99" i="5"/>
  <c r="U99" i="5" s="1"/>
  <c r="V98" i="5"/>
  <c r="T98" i="5"/>
  <c r="S98" i="5"/>
  <c r="W98" i="5" s="1"/>
  <c r="Q98" i="5"/>
  <c r="P98" i="5"/>
  <c r="U98" i="5" s="1"/>
  <c r="V97" i="5"/>
  <c r="T97" i="5"/>
  <c r="S97" i="5"/>
  <c r="Q97" i="5"/>
  <c r="P97" i="5"/>
  <c r="U97" i="5" s="1"/>
  <c r="V96" i="5"/>
  <c r="T96" i="5"/>
  <c r="S96" i="5"/>
  <c r="Q96" i="5"/>
  <c r="P96" i="5"/>
  <c r="U96" i="5" s="1"/>
  <c r="V95" i="5"/>
  <c r="U95" i="5"/>
  <c r="T95" i="5"/>
  <c r="S95" i="5"/>
  <c r="Q95" i="5"/>
  <c r="P95" i="5"/>
  <c r="V94" i="5"/>
  <c r="U94" i="5"/>
  <c r="T94" i="5"/>
  <c r="S94" i="5"/>
  <c r="Q94" i="5"/>
  <c r="P94" i="5"/>
  <c r="V93" i="5"/>
  <c r="U93" i="5"/>
  <c r="T93" i="5"/>
  <c r="S93" i="5"/>
  <c r="W93" i="5" s="1"/>
  <c r="Q93" i="5"/>
  <c r="P93" i="5"/>
  <c r="V92" i="5"/>
  <c r="T92" i="5"/>
  <c r="S92" i="5"/>
  <c r="W92" i="5" s="1"/>
  <c r="Q92" i="5"/>
  <c r="U92" i="5" s="1"/>
  <c r="P92" i="5"/>
  <c r="V91" i="5"/>
  <c r="T91" i="5"/>
  <c r="S91" i="5"/>
  <c r="W91" i="5" s="1"/>
  <c r="Q91" i="5"/>
  <c r="P91" i="5"/>
  <c r="U91" i="5" s="1"/>
  <c r="V90" i="5"/>
  <c r="T90" i="5"/>
  <c r="S90" i="5"/>
  <c r="W90" i="5" s="1"/>
  <c r="Q90" i="5"/>
  <c r="P90" i="5"/>
  <c r="U90" i="5" s="1"/>
  <c r="V89" i="5"/>
  <c r="T89" i="5"/>
  <c r="S89" i="5"/>
  <c r="Q89" i="5"/>
  <c r="P89" i="5"/>
  <c r="U89" i="5" s="1"/>
  <c r="V88" i="5"/>
  <c r="T88" i="5"/>
  <c r="S88" i="5"/>
  <c r="Q88" i="5"/>
  <c r="P88" i="5"/>
  <c r="U88" i="5" s="1"/>
  <c r="V87" i="5"/>
  <c r="U87" i="5"/>
  <c r="T87" i="5"/>
  <c r="S87" i="5"/>
  <c r="Q87" i="5"/>
  <c r="P87" i="5"/>
  <c r="V86" i="5"/>
  <c r="U86" i="5"/>
  <c r="T86" i="5"/>
  <c r="S86" i="5"/>
  <c r="Q86" i="5"/>
  <c r="P86" i="5"/>
  <c r="V85" i="5"/>
  <c r="U85" i="5"/>
  <c r="T85" i="5"/>
  <c r="S85" i="5"/>
  <c r="W85" i="5" s="1"/>
  <c r="Q85" i="5"/>
  <c r="P85" i="5"/>
  <c r="V84" i="5"/>
  <c r="T84" i="5"/>
  <c r="S84" i="5"/>
  <c r="W84" i="5" s="1"/>
  <c r="Q84" i="5"/>
  <c r="U84" i="5" s="1"/>
  <c r="P84" i="5"/>
  <c r="V83" i="5"/>
  <c r="T83" i="5"/>
  <c r="S83" i="5"/>
  <c r="W83" i="5" s="1"/>
  <c r="Q83" i="5"/>
  <c r="P83" i="5"/>
  <c r="U83" i="5" s="1"/>
  <c r="V82" i="5"/>
  <c r="T82" i="5"/>
  <c r="S82" i="5"/>
  <c r="W82" i="5" s="1"/>
  <c r="Q82" i="5"/>
  <c r="P82" i="5"/>
  <c r="U82" i="5" s="1"/>
  <c r="V81" i="5"/>
  <c r="T81" i="5"/>
  <c r="S81" i="5"/>
  <c r="Q81" i="5"/>
  <c r="P81" i="5"/>
  <c r="U81" i="5" s="1"/>
  <c r="V80" i="5"/>
  <c r="T80" i="5"/>
  <c r="S80" i="5"/>
  <c r="Q80" i="5"/>
  <c r="P80" i="5"/>
  <c r="U80" i="5" s="1"/>
  <c r="V79" i="5"/>
  <c r="U79" i="5"/>
  <c r="T79" i="5"/>
  <c r="S79" i="5"/>
  <c r="Q79" i="5"/>
  <c r="P79" i="5"/>
  <c r="V78" i="5"/>
  <c r="U78" i="5"/>
  <c r="T78" i="5"/>
  <c r="S78" i="5"/>
  <c r="Q78" i="5"/>
  <c r="P78" i="5"/>
  <c r="V77" i="5"/>
  <c r="U77" i="5"/>
  <c r="T77" i="5"/>
  <c r="S77" i="5"/>
  <c r="W77" i="5" s="1"/>
  <c r="Q77" i="5"/>
  <c r="P77" i="5"/>
  <c r="V76" i="5"/>
  <c r="T76" i="5"/>
  <c r="S76" i="5"/>
  <c r="W76" i="5" s="1"/>
  <c r="Q76" i="5"/>
  <c r="U76" i="5" s="1"/>
  <c r="P76" i="5"/>
  <c r="V75" i="5"/>
  <c r="T75" i="5"/>
  <c r="S75" i="5"/>
  <c r="W75" i="5" s="1"/>
  <c r="Q75" i="5"/>
  <c r="P75" i="5"/>
  <c r="U75" i="5" s="1"/>
  <c r="V74" i="5"/>
  <c r="T74" i="5"/>
  <c r="S74" i="5"/>
  <c r="W74" i="5" s="1"/>
  <c r="Q74" i="5"/>
  <c r="P74" i="5"/>
  <c r="U74" i="5" s="1"/>
  <c r="V73" i="5"/>
  <c r="T73" i="5"/>
  <c r="S73" i="5"/>
  <c r="Q73" i="5"/>
  <c r="P73" i="5"/>
  <c r="U73" i="5" s="1"/>
  <c r="V72" i="5"/>
  <c r="T72" i="5"/>
  <c r="S72" i="5"/>
  <c r="Q72" i="5"/>
  <c r="P72" i="5"/>
  <c r="U72" i="5" s="1"/>
  <c r="V71" i="5"/>
  <c r="U71" i="5"/>
  <c r="T71" i="5"/>
  <c r="S71" i="5"/>
  <c r="Q71" i="5"/>
  <c r="P71" i="5"/>
  <c r="V70" i="5"/>
  <c r="U70" i="5"/>
  <c r="T70" i="5"/>
  <c r="S70" i="5"/>
  <c r="Q70" i="5"/>
  <c r="P70" i="5"/>
  <c r="V69" i="5"/>
  <c r="U69" i="5"/>
  <c r="T69" i="5"/>
  <c r="S69" i="5"/>
  <c r="W69" i="5" s="1"/>
  <c r="Q69" i="5"/>
  <c r="P69" i="5"/>
  <c r="V68" i="5"/>
  <c r="T68" i="5"/>
  <c r="S68" i="5"/>
  <c r="W68" i="5" s="1"/>
  <c r="Q68" i="5"/>
  <c r="U68" i="5" s="1"/>
  <c r="P68" i="5"/>
  <c r="V67" i="5"/>
  <c r="T67" i="5"/>
  <c r="S67" i="5"/>
  <c r="W67" i="5" s="1"/>
  <c r="Q67" i="5"/>
  <c r="P67" i="5"/>
  <c r="U67" i="5" s="1"/>
  <c r="V66" i="5"/>
  <c r="T66" i="5"/>
  <c r="S66" i="5"/>
  <c r="W66" i="5" s="1"/>
  <c r="Q66" i="5"/>
  <c r="P66" i="5"/>
  <c r="U66" i="5" s="1"/>
  <c r="V65" i="5"/>
  <c r="T65" i="5"/>
  <c r="S65" i="5"/>
  <c r="Q65" i="5"/>
  <c r="P65" i="5"/>
  <c r="U65" i="5" s="1"/>
  <c r="V64" i="5"/>
  <c r="T64" i="5"/>
  <c r="S64" i="5"/>
  <c r="Q64" i="5"/>
  <c r="P64" i="5"/>
  <c r="U64" i="5" s="1"/>
  <c r="V63" i="5"/>
  <c r="U63" i="5"/>
  <c r="T63" i="5"/>
  <c r="S63" i="5"/>
  <c r="Q63" i="5"/>
  <c r="P63" i="5"/>
  <c r="V62" i="5"/>
  <c r="U62" i="5"/>
  <c r="T62" i="5"/>
  <c r="S62" i="5"/>
  <c r="Q62" i="5"/>
  <c r="P62" i="5"/>
  <c r="V61" i="5"/>
  <c r="U61" i="5"/>
  <c r="T61" i="5"/>
  <c r="S61" i="5"/>
  <c r="W61" i="5" s="1"/>
  <c r="Q61" i="5"/>
  <c r="P61" i="5"/>
  <c r="V60" i="5"/>
  <c r="T60" i="5"/>
  <c r="S60" i="5"/>
  <c r="W60" i="5" s="1"/>
  <c r="Q60" i="5"/>
  <c r="U60" i="5" s="1"/>
  <c r="P60" i="5"/>
  <c r="V59" i="5"/>
  <c r="T59" i="5"/>
  <c r="S59" i="5"/>
  <c r="W59" i="5" s="1"/>
  <c r="Q59" i="5"/>
  <c r="P59" i="5"/>
  <c r="U59" i="5" s="1"/>
  <c r="V58" i="5"/>
  <c r="T58" i="5"/>
  <c r="S58" i="5"/>
  <c r="W58" i="5" s="1"/>
  <c r="Q58" i="5"/>
  <c r="P58" i="5"/>
  <c r="U58" i="5" s="1"/>
  <c r="V57" i="5"/>
  <c r="T57" i="5"/>
  <c r="S57" i="5"/>
  <c r="Q57" i="5"/>
  <c r="P57" i="5"/>
  <c r="U57" i="5" s="1"/>
  <c r="V56" i="5"/>
  <c r="T56" i="5"/>
  <c r="S56" i="5"/>
  <c r="Q56" i="5"/>
  <c r="P56" i="5"/>
  <c r="U56" i="5" s="1"/>
  <c r="V55" i="5"/>
  <c r="U55" i="5"/>
  <c r="T55" i="5"/>
  <c r="S55" i="5"/>
  <c r="Q55" i="5"/>
  <c r="P55" i="5"/>
  <c r="V54" i="5"/>
  <c r="U54" i="5"/>
  <c r="T54" i="5"/>
  <c r="S54" i="5"/>
  <c r="Q54" i="5"/>
  <c r="P54" i="5"/>
  <c r="V53" i="5"/>
  <c r="U53" i="5"/>
  <c r="T53" i="5"/>
  <c r="S53" i="5"/>
  <c r="W53" i="5" s="1"/>
  <c r="Q53" i="5"/>
  <c r="P53" i="5"/>
  <c r="V52" i="5"/>
  <c r="T52" i="5"/>
  <c r="S52" i="5"/>
  <c r="W52" i="5" s="1"/>
  <c r="Q52" i="5"/>
  <c r="U52" i="5" s="1"/>
  <c r="P52" i="5"/>
  <c r="V51" i="5"/>
  <c r="T51" i="5"/>
  <c r="S51" i="5"/>
  <c r="W51" i="5" s="1"/>
  <c r="Q51" i="5"/>
  <c r="P51" i="5"/>
  <c r="U51" i="5" s="1"/>
  <c r="V50" i="5"/>
  <c r="T50" i="5"/>
  <c r="S50" i="5"/>
  <c r="W50" i="5" s="1"/>
  <c r="Q50" i="5"/>
  <c r="P50" i="5"/>
  <c r="U50" i="5" s="1"/>
  <c r="V49" i="5"/>
  <c r="T49" i="5"/>
  <c r="S49" i="5"/>
  <c r="Q49" i="5"/>
  <c r="P49" i="5"/>
  <c r="U49" i="5" s="1"/>
  <c r="V48" i="5"/>
  <c r="T48" i="5"/>
  <c r="S48" i="5"/>
  <c r="Q48" i="5"/>
  <c r="P48" i="5"/>
  <c r="U48" i="5" s="1"/>
  <c r="V47" i="5"/>
  <c r="U47" i="5"/>
  <c r="T47" i="5"/>
  <c r="S47" i="5"/>
  <c r="Q47" i="5"/>
  <c r="P47" i="5"/>
  <c r="V46" i="5"/>
  <c r="U46" i="5"/>
  <c r="T46" i="5"/>
  <c r="S46" i="5"/>
  <c r="Q46" i="5"/>
  <c r="P46" i="5"/>
  <c r="V45" i="5"/>
  <c r="U45" i="5"/>
  <c r="T45" i="5"/>
  <c r="S45" i="5"/>
  <c r="W45" i="5" s="1"/>
  <c r="Q45" i="5"/>
  <c r="P45" i="5"/>
  <c r="V44" i="5"/>
  <c r="T44" i="5"/>
  <c r="S44" i="5"/>
  <c r="W44" i="5" s="1"/>
  <c r="Q44" i="5"/>
  <c r="U44" i="5" s="1"/>
  <c r="P44" i="5"/>
  <c r="V43" i="5"/>
  <c r="T43" i="5"/>
  <c r="S43" i="5"/>
  <c r="W43" i="5" s="1"/>
  <c r="Q43" i="5"/>
  <c r="P43" i="5"/>
  <c r="U43" i="5" s="1"/>
  <c r="V42" i="5"/>
  <c r="T42" i="5"/>
  <c r="S42" i="5"/>
  <c r="W42" i="5" s="1"/>
  <c r="Q42" i="5"/>
  <c r="P42" i="5"/>
  <c r="U42" i="5" s="1"/>
  <c r="V41" i="5"/>
  <c r="T41" i="5"/>
  <c r="S41" i="5"/>
  <c r="Q41" i="5"/>
  <c r="P41" i="5"/>
  <c r="U41" i="5" s="1"/>
  <c r="V40" i="5"/>
  <c r="T40" i="5"/>
  <c r="S40" i="5"/>
  <c r="Q40" i="5"/>
  <c r="P40" i="5"/>
  <c r="U40" i="5" s="1"/>
  <c r="V39" i="5"/>
  <c r="U39" i="5"/>
  <c r="T39" i="5"/>
  <c r="S39" i="5"/>
  <c r="Q39" i="5"/>
  <c r="P39" i="5"/>
  <c r="V38" i="5"/>
  <c r="U38" i="5"/>
  <c r="T38" i="5"/>
  <c r="S38" i="5"/>
  <c r="Q38" i="5"/>
  <c r="P38" i="5"/>
  <c r="V37" i="5"/>
  <c r="U37" i="5"/>
  <c r="T37" i="5"/>
  <c r="S37" i="5"/>
  <c r="W37" i="5" s="1"/>
  <c r="Q37" i="5"/>
  <c r="P37" i="5"/>
  <c r="V36" i="5"/>
  <c r="T36" i="5"/>
  <c r="S36" i="5"/>
  <c r="W36" i="5" s="1"/>
  <c r="Q36" i="5"/>
  <c r="U36" i="5" s="1"/>
  <c r="P36" i="5"/>
  <c r="V35" i="5"/>
  <c r="T35" i="5"/>
  <c r="S35" i="5"/>
  <c r="W35" i="5" s="1"/>
  <c r="Q35" i="5"/>
  <c r="P35" i="5"/>
  <c r="U35" i="5" s="1"/>
  <c r="V34" i="5"/>
  <c r="T34" i="5"/>
  <c r="S34" i="5"/>
  <c r="W34" i="5" s="1"/>
  <c r="Q34" i="5"/>
  <c r="P34" i="5"/>
  <c r="U34" i="5" s="1"/>
  <c r="V33" i="5"/>
  <c r="T33" i="5"/>
  <c r="S33" i="5"/>
  <c r="Q33" i="5"/>
  <c r="P33" i="5"/>
  <c r="U33" i="5" s="1"/>
  <c r="V32" i="5"/>
  <c r="T32" i="5"/>
  <c r="S32" i="5"/>
  <c r="Q32" i="5"/>
  <c r="P32" i="5"/>
  <c r="U32" i="5" s="1"/>
  <c r="V31" i="5"/>
  <c r="U31" i="5"/>
  <c r="T31" i="5"/>
  <c r="S31" i="5"/>
  <c r="Q31" i="5"/>
  <c r="P31" i="5"/>
  <c r="V30" i="5"/>
  <c r="U30" i="5"/>
  <c r="T30" i="5"/>
  <c r="S30" i="5"/>
  <c r="Q30" i="5"/>
  <c r="P30" i="5"/>
  <c r="V29" i="5"/>
  <c r="U29" i="5"/>
  <c r="T29" i="5"/>
  <c r="S29" i="5"/>
  <c r="W29" i="5" s="1"/>
  <c r="Q29" i="5"/>
  <c r="P29" i="5"/>
  <c r="V28" i="5"/>
  <c r="T28" i="5"/>
  <c r="S28" i="5"/>
  <c r="W28" i="5" s="1"/>
  <c r="Q28" i="5"/>
  <c r="U28" i="5" s="1"/>
  <c r="P28" i="5"/>
  <c r="V27" i="5"/>
  <c r="T27" i="5"/>
  <c r="S27" i="5"/>
  <c r="W27" i="5" s="1"/>
  <c r="Q27" i="5"/>
  <c r="P27" i="5"/>
  <c r="U27" i="5" s="1"/>
  <c r="V26" i="5"/>
  <c r="T26" i="5"/>
  <c r="S26" i="5"/>
  <c r="W26" i="5" s="1"/>
  <c r="Q26" i="5"/>
  <c r="P26" i="5"/>
  <c r="U26" i="5" s="1"/>
  <c r="V25" i="5"/>
  <c r="T25" i="5"/>
  <c r="S25" i="5"/>
  <c r="Q25" i="5"/>
  <c r="P25" i="5"/>
  <c r="U25" i="5" s="1"/>
  <c r="V24" i="5"/>
  <c r="T24" i="5"/>
  <c r="S24" i="5"/>
  <c r="Q24" i="5"/>
  <c r="P24" i="5"/>
  <c r="U24" i="5" s="1"/>
  <c r="V23" i="5"/>
  <c r="U23" i="5"/>
  <c r="T23" i="5"/>
  <c r="S23" i="5"/>
  <c r="Q23" i="5"/>
  <c r="P23" i="5"/>
  <c r="V22" i="5"/>
  <c r="U22" i="5"/>
  <c r="T22" i="5"/>
  <c r="S22" i="5"/>
  <c r="Q22" i="5"/>
  <c r="P22" i="5"/>
  <c r="V21" i="5"/>
  <c r="U21" i="5"/>
  <c r="T21" i="5"/>
  <c r="S21" i="5"/>
  <c r="W21" i="5" s="1"/>
  <c r="Q21" i="5"/>
  <c r="P21" i="5"/>
  <c r="V20" i="5"/>
  <c r="T20" i="5"/>
  <c r="S20" i="5"/>
  <c r="W20" i="5" s="1"/>
  <c r="Q20" i="5"/>
  <c r="U20" i="5" s="1"/>
  <c r="P20" i="5"/>
  <c r="V19" i="5"/>
  <c r="T19" i="5"/>
  <c r="S19" i="5"/>
  <c r="W19" i="5" s="1"/>
  <c r="Q19" i="5"/>
  <c r="P19" i="5"/>
  <c r="U19" i="5" s="1"/>
  <c r="V18" i="5"/>
  <c r="T18" i="5"/>
  <c r="S18" i="5"/>
  <c r="W18" i="5" s="1"/>
  <c r="Q18" i="5"/>
  <c r="P18" i="5"/>
  <c r="U18" i="5" s="1"/>
  <c r="V17" i="5"/>
  <c r="T17" i="5"/>
  <c r="S17" i="5"/>
  <c r="Q17" i="5"/>
  <c r="P17" i="5"/>
  <c r="U17" i="5" s="1"/>
  <c r="V16" i="5"/>
  <c r="T16" i="5"/>
  <c r="S16" i="5"/>
  <c r="Q16" i="5"/>
  <c r="P16" i="5"/>
  <c r="U16" i="5" s="1"/>
  <c r="V15" i="5"/>
  <c r="U15" i="5"/>
  <c r="T15" i="5"/>
  <c r="S15" i="5"/>
  <c r="Q15" i="5"/>
  <c r="P15" i="5"/>
  <c r="V14" i="5"/>
  <c r="U14" i="5"/>
  <c r="T14" i="5"/>
  <c r="S14" i="5"/>
  <c r="Q14" i="5"/>
  <c r="P14" i="5"/>
  <c r="V13" i="5"/>
  <c r="U13" i="5"/>
  <c r="T13" i="5"/>
  <c r="S13" i="5"/>
  <c r="W13" i="5" s="1"/>
  <c r="Q13" i="5"/>
  <c r="P13" i="5"/>
  <c r="V12" i="5"/>
  <c r="T12" i="5"/>
  <c r="S12" i="5"/>
  <c r="W12" i="5" s="1"/>
  <c r="Q12" i="5"/>
  <c r="U12" i="5" s="1"/>
  <c r="P12" i="5"/>
  <c r="V11" i="5"/>
  <c r="T11" i="5"/>
  <c r="S11" i="5"/>
  <c r="W11" i="5" s="1"/>
  <c r="Q11" i="5"/>
  <c r="P11" i="5"/>
  <c r="U11" i="5" s="1"/>
  <c r="V10" i="5"/>
  <c r="T10" i="5"/>
  <c r="S10" i="5"/>
  <c r="W10" i="5" s="1"/>
  <c r="Q10" i="5"/>
  <c r="P10" i="5"/>
  <c r="U10" i="5" s="1"/>
  <c r="V9" i="5"/>
  <c r="T9" i="5"/>
  <c r="S9" i="5"/>
  <c r="Q9" i="5"/>
  <c r="P9" i="5"/>
  <c r="U9" i="5" s="1"/>
  <c r="V8" i="5"/>
  <c r="T8" i="5"/>
  <c r="S8" i="5"/>
  <c r="Q8" i="5"/>
  <c r="P8" i="5"/>
  <c r="U8" i="5" s="1"/>
  <c r="V7" i="5"/>
  <c r="U7" i="5"/>
  <c r="T7" i="5"/>
  <c r="S7" i="5"/>
  <c r="Q7" i="5"/>
  <c r="P7" i="5"/>
  <c r="V6" i="5"/>
  <c r="U6" i="5"/>
  <c r="T6" i="5"/>
  <c r="S6" i="5"/>
  <c r="Q6" i="5"/>
  <c r="P6" i="5"/>
  <c r="V5" i="5"/>
  <c r="U5" i="5"/>
  <c r="T5" i="5"/>
  <c r="S5" i="5"/>
  <c r="W153" i="5" s="1"/>
  <c r="Q5" i="5"/>
  <c r="P5" i="5"/>
  <c r="V4" i="5"/>
  <c r="T4" i="5"/>
  <c r="S4" i="5"/>
  <c r="W4" i="5" s="1"/>
  <c r="Q4" i="5"/>
  <c r="U4" i="5" s="1"/>
  <c r="P4" i="5"/>
  <c r="V3" i="5"/>
  <c r="T3" i="5"/>
  <c r="S3" i="5"/>
  <c r="W3" i="5" s="1"/>
  <c r="Q3" i="5"/>
  <c r="P3" i="5"/>
  <c r="U3" i="5" s="1"/>
  <c r="V2" i="5"/>
  <c r="T2" i="5"/>
  <c r="S2" i="5"/>
  <c r="W2" i="5" s="1"/>
  <c r="Q2" i="5"/>
  <c r="P2" i="5"/>
  <c r="U2" i="5" s="1"/>
  <c r="F67" i="4"/>
  <c r="E67" i="4"/>
  <c r="D67" i="4"/>
  <c r="C67" i="4"/>
  <c r="F66" i="4"/>
  <c r="E66" i="4"/>
  <c r="D66" i="4"/>
  <c r="C66" i="4"/>
  <c r="F65" i="4"/>
  <c r="E65" i="4"/>
  <c r="D65" i="4"/>
  <c r="C65" i="4"/>
  <c r="F64" i="4"/>
  <c r="E64" i="4"/>
  <c r="D64" i="4"/>
  <c r="C64" i="4"/>
  <c r="F63" i="4"/>
  <c r="E63" i="4"/>
  <c r="D63" i="4"/>
  <c r="C63" i="4"/>
  <c r="F62" i="4"/>
  <c r="E62" i="4"/>
  <c r="D62" i="4"/>
  <c r="C62" i="4"/>
  <c r="F61" i="4"/>
  <c r="E61" i="4"/>
  <c r="D61" i="4"/>
  <c r="C61" i="4"/>
  <c r="F60" i="4"/>
  <c r="E60" i="4"/>
  <c r="D60" i="4"/>
  <c r="C60" i="4"/>
  <c r="F59" i="4"/>
  <c r="E59" i="4"/>
  <c r="D59" i="4"/>
  <c r="C59" i="4"/>
  <c r="F58" i="4"/>
  <c r="E58" i="4"/>
  <c r="D58" i="4"/>
  <c r="C58" i="4"/>
  <c r="B8" i="3" s="1"/>
  <c r="E54" i="4"/>
  <c r="D54" i="4"/>
  <c r="C54" i="4"/>
  <c r="E53" i="4"/>
  <c r="D53" i="4"/>
  <c r="C53" i="4"/>
  <c r="E52" i="4"/>
  <c r="D52" i="4"/>
  <c r="C52" i="4"/>
  <c r="E51" i="4"/>
  <c r="D51" i="4"/>
  <c r="C51" i="4"/>
  <c r="F47" i="4"/>
  <c r="E47" i="4"/>
  <c r="D47" i="4"/>
  <c r="C47" i="4"/>
  <c r="F46" i="4"/>
  <c r="E46" i="4"/>
  <c r="D46" i="4"/>
  <c r="C46" i="4"/>
  <c r="F45" i="4"/>
  <c r="E45" i="4"/>
  <c r="D45" i="4"/>
  <c r="C45" i="4"/>
  <c r="F41" i="4"/>
  <c r="E41" i="4"/>
  <c r="D41" i="4"/>
  <c r="C41" i="4"/>
  <c r="F40" i="4"/>
  <c r="E40" i="4"/>
  <c r="D40" i="4"/>
  <c r="C40" i="4"/>
  <c r="G35" i="4"/>
  <c r="F35" i="4"/>
  <c r="E35" i="4"/>
  <c r="D35" i="4"/>
  <c r="C35" i="4"/>
  <c r="G34" i="4"/>
  <c r="F34" i="4"/>
  <c r="E34" i="4"/>
  <c r="D34" i="4"/>
  <c r="H34" i="4" s="1"/>
  <c r="C34" i="4"/>
  <c r="G33" i="4"/>
  <c r="F33" i="4"/>
  <c r="C22" i="6" s="1"/>
  <c r="E33" i="4"/>
  <c r="C21" i="6" s="1"/>
  <c r="D33" i="4"/>
  <c r="C33" i="4"/>
  <c r="C19" i="6" s="1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H30" i="4" s="1"/>
  <c r="C30" i="4"/>
  <c r="G29" i="4"/>
  <c r="F29" i="4"/>
  <c r="E29" i="4"/>
  <c r="D29" i="4"/>
  <c r="H29" i="4" s="1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H26" i="4" s="1"/>
  <c r="C26" i="4"/>
  <c r="G25" i="4"/>
  <c r="F25" i="4"/>
  <c r="E25" i="4"/>
  <c r="D25" i="4"/>
  <c r="H25" i="4" s="1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H22" i="4" s="1"/>
  <c r="C22" i="4"/>
  <c r="G21" i="4"/>
  <c r="F21" i="4"/>
  <c r="E21" i="4"/>
  <c r="D21" i="4"/>
  <c r="H21" i="4" s="1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H18" i="4" s="1"/>
  <c r="C18" i="4"/>
  <c r="G17" i="4"/>
  <c r="F17" i="4"/>
  <c r="E17" i="4"/>
  <c r="D17" i="4"/>
  <c r="H17" i="4" s="1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H14" i="4" s="1"/>
  <c r="C14" i="4"/>
  <c r="G13" i="4"/>
  <c r="F13" i="4"/>
  <c r="E13" i="4"/>
  <c r="D13" i="4"/>
  <c r="H13" i="4" s="1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H10" i="4" s="1"/>
  <c r="C10" i="4"/>
  <c r="G9" i="4"/>
  <c r="F9" i="4"/>
  <c r="E9" i="4"/>
  <c r="D9" i="4"/>
  <c r="H19" i="4" s="1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B17" i="3" s="1"/>
  <c r="D6" i="4"/>
  <c r="H35" i="4" s="1"/>
  <c r="C6" i="4"/>
  <c r="B20" i="3"/>
  <c r="B14" i="3"/>
  <c r="B5" i="3"/>
  <c r="L8" i="1"/>
  <c r="J8" i="1"/>
  <c r="H8" i="1"/>
  <c r="F8" i="1"/>
  <c r="D8" i="1"/>
  <c r="B8" i="1"/>
  <c r="H11" i="4" l="1"/>
  <c r="W8" i="5"/>
  <c r="W16" i="5"/>
  <c r="W24" i="5"/>
  <c r="W32" i="5"/>
  <c r="W40" i="5"/>
  <c r="W48" i="5"/>
  <c r="W56" i="5"/>
  <c r="W64" i="5"/>
  <c r="W72" i="5"/>
  <c r="W80" i="5"/>
  <c r="W88" i="5"/>
  <c r="W96" i="5"/>
  <c r="W104" i="5"/>
  <c r="W112" i="5"/>
  <c r="W120" i="5"/>
  <c r="W128" i="5"/>
  <c r="W136" i="5"/>
  <c r="W144" i="5"/>
  <c r="W152" i="5"/>
  <c r="H7" i="4"/>
  <c r="H6" i="4"/>
  <c r="W7" i="5"/>
  <c r="W15" i="5"/>
  <c r="W23" i="5"/>
  <c r="W31" i="5"/>
  <c r="W39" i="5"/>
  <c r="W47" i="5"/>
  <c r="W55" i="5"/>
  <c r="W63" i="5"/>
  <c r="W71" i="5"/>
  <c r="W79" i="5"/>
  <c r="W87" i="5"/>
  <c r="W95" i="5"/>
  <c r="W103" i="5"/>
  <c r="W111" i="5"/>
  <c r="W119" i="5"/>
  <c r="W127" i="5"/>
  <c r="W135" i="5"/>
  <c r="W143" i="5"/>
  <c r="W151" i="5"/>
  <c r="W6" i="5"/>
  <c r="W14" i="5"/>
  <c r="W22" i="5"/>
  <c r="W30" i="5"/>
  <c r="W38" i="5"/>
  <c r="W46" i="5"/>
  <c r="W54" i="5"/>
  <c r="W62" i="5"/>
  <c r="W70" i="5"/>
  <c r="W78" i="5"/>
  <c r="W86" i="5"/>
  <c r="W94" i="5"/>
  <c r="W102" i="5"/>
  <c r="W110" i="5"/>
  <c r="W118" i="5"/>
  <c r="W126" i="5"/>
  <c r="W134" i="5"/>
  <c r="W142" i="5"/>
  <c r="W150" i="5"/>
  <c r="W158" i="5"/>
  <c r="H9" i="4"/>
  <c r="H33" i="4"/>
  <c r="C23" i="6" s="1"/>
  <c r="W5" i="5"/>
  <c r="H8" i="4"/>
  <c r="H12" i="4"/>
  <c r="H16" i="4"/>
  <c r="H20" i="4"/>
  <c r="H24" i="4"/>
  <c r="H28" i="4"/>
  <c r="H32" i="4"/>
  <c r="W139" i="5"/>
  <c r="H15" i="4"/>
  <c r="H23" i="4"/>
  <c r="H27" i="4"/>
  <c r="H31" i="4"/>
  <c r="W9" i="5"/>
  <c r="W17" i="5"/>
  <c r="W25" i="5"/>
  <c r="W33" i="5"/>
  <c r="W41" i="5"/>
  <c r="W49" i="5"/>
  <c r="W57" i="5"/>
  <c r="W65" i="5"/>
  <c r="W73" i="5"/>
  <c r="W81" i="5"/>
  <c r="W89" i="5"/>
  <c r="W97" i="5"/>
  <c r="W105" i="5"/>
  <c r="W113" i="5"/>
  <c r="W121" i="5"/>
  <c r="W129" i="5"/>
  <c r="W137" i="5"/>
  <c r="W14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<sst xmlns="http://schemas.openxmlformats.org/spreadsheetml/2006/main" count="1397" uniqueCount="412">
  <si>
    <t>CAR SALES ANALYSIS DASHBOARD</t>
  </si>
  <si>
    <t>Filter by Brand:</t>
  </si>
  <si>
    <t>All Brands</t>
  </si>
  <si>
    <t>Total Cars Sold (units)</t>
  </si>
  <si>
    <t>Total Sales Revenue ($M)</t>
  </si>
  <si>
    <t>Average Car Price ($000)</t>
  </si>
  <si>
    <t>Highest Car Price ($000)</t>
  </si>
  <si>
    <t>Avg Units Sold per Model (000s)*</t>
  </si>
  <si>
    <t>Total Brands</t>
  </si>
  <si>
    <t>Business Questions — Answered Live with Formulas</t>
  </si>
  <si>
    <t>Which car brand generates the highest revenue?</t>
  </si>
  <si>
    <t>Which model sells the most?</t>
  </si>
  <si>
    <t>Which launch year has the highest total sales? (proxy for "highest month" — no monthly data exists)</t>
  </si>
  <si>
    <t>What is the average selling price across all models?</t>
  </si>
  <si>
    <t>Which brands have the highest average price?</t>
  </si>
  <si>
    <t>Are expensive cars selling less than cheaper cars?</t>
  </si>
  <si>
    <t>Analysis — Pivot-Style Summary Tables</t>
  </si>
  <si>
    <t>Brand Summary</t>
  </si>
  <si>
    <t>Brand</t>
  </si>
  <si>
    <t>Total Revenue ($M)</t>
  </si>
  <si>
    <t>Number of Models</t>
  </si>
  <si>
    <t>Revenue Rank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</si>
  <si>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</si>
  <si>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</si>
  <si>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</si>
  <si>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</si>
  <si>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</si>
  <si>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</si>
  <si>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</si>
  <si>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</si>
  <si>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</si>
  <si>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</si>
  <si>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</si>
  <si>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</si>
  <si>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</si>
  <si>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</si>
  <si>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</si>
  <si>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</si>
  <si>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Mercedes-Benz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</si>
  <si>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</si>
  <si>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</si>
  <si>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</si>
  <si>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</si>
  <si>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</si>
  <si>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</si>
  <si>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</si>
  <si>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</si>
  <si>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</si>
  <si>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</si>
  <si>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</si>
  <si>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</si>
  <si>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</si>
  <si>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Vehicle Segment Summary</t>
  </si>
  <si>
    <t>Segment</t>
  </si>
  <si>
    <t>Passenger Car</t>
  </si>
  <si>
    <t>SUV/Truck/Van</t>
  </si>
  <si>
    <t>Price Tier Summary</t>
  </si>
  <si>
    <t>Price Tier</t>
  </si>
  <si>
    <t>Budget</t>
  </si>
  <si>
    <t>Mid-range</t>
  </si>
  <si>
    <t>Luxury</t>
  </si>
  <si>
    <t>Sales by Launch Year (substitute for Monthly Sales — no per-month sales data exists)</t>
  </si>
  <si>
    <t>Launch Year</t>
  </si>
  <si>
    <t>Top 10 Best-Selling Models</t>
  </si>
  <si>
    <t>Rank</t>
  </si>
  <si>
    <t>Model</t>
  </si>
  <si>
    <t>Manufacturer</t>
  </si>
  <si>
    <t>Revenue ($M)</t>
  </si>
  <si>
    <t>Vehicle_Segment</t>
  </si>
  <si>
    <t>Sales_Units_Thousands</t>
  </si>
  <si>
    <t>Price_Thousands_USD</t>
  </si>
  <si>
    <t>Engine_Size_L</t>
  </si>
  <si>
    <t>Horsepower</t>
  </si>
  <si>
    <t>Wheelbase_in</t>
  </si>
  <si>
    <t>Width_in</t>
  </si>
  <si>
    <t>Length_in</t>
  </si>
  <si>
    <t>Curb_Weight_Tons</t>
  </si>
  <si>
    <t>Fuel_Capacity_Gal</t>
  </si>
  <si>
    <t>Fuel_Efficiency_MPG</t>
  </si>
  <si>
    <t>Resale_Value_Thousands</t>
  </si>
  <si>
    <t>Launch_Date</t>
  </si>
  <si>
    <t>Launch_Year</t>
  </si>
  <si>
    <t>Launch_Month</t>
  </si>
  <si>
    <t>Power_Perf_Factor</t>
  </si>
  <si>
    <t>Revenue_Millions_USD</t>
  </si>
  <si>
    <t>Price_Tier</t>
  </si>
  <si>
    <t>Data_Complete</t>
  </si>
  <si>
    <t>Sales_Rank</t>
  </si>
  <si>
    <t>Revenue_Rank</t>
  </si>
  <si>
    <t>Integra</t>
  </si>
  <si>
    <t>TL</t>
  </si>
  <si>
    <t>CL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</si>
  <si>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</si>
  <si>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</si>
  <si>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</si>
  <si>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</si>
  <si>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</si>
  <si>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</si>
  <si>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</si>
  <si>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</si>
  <si>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</si>
  <si>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</si>
  <si>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</si>
  <si>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</si>
  <si>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</si>
  <si>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</si>
  <si>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</si>
  <si>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</si>
  <si>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</si>
  <si>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</si>
  <si>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</si>
  <si>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</si>
  <si>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</si>
  <si>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</si>
  <si>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</si>
  <si>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</si>
  <si>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</si>
  <si>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</si>
  <si>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</si>
  <si>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</si>
  <si>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</si>
  <si>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</si>
  <si>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</si>
  <si>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</si>
  <si>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</si>
  <si>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</si>
  <si>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</si>
  <si>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</si>
  <si>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</si>
  <si>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</si>
  <si>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</si>
  <si>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</si>
  <si>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</si>
  <si>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</si>
  <si>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</si>
  <si>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</si>
  <si>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</si>
  <si>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</si>
  <si>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</si>
  <si>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</si>
  <si>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</si>
  <si>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</si>
  <si>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</si>
  <si>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</si>
  <si>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</si>
  <si>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</si>
  <si>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</si>
  <si>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</si>
  <si>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</si>
  <si>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</si>
  <si>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</si>
  <si>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</si>
  <si>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</si>
  <si>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</si>
  <si>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</si>
  <si>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</si>
  <si>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</si>
  <si>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</si>
  <si>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</si>
  <si>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</si>
  <si>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</si>
  <si>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</si>
  <si>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</si>
  <si>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</si>
  <si>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</si>
  <si>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</si>
  <si>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</si>
  <si>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</si>
  <si>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</si>
  <si>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</si>
  <si>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</si>
  <si>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</si>
  <si>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</si>
  <si>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</si>
  <si>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</si>
  <si>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</si>
  <si>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</si>
  <si>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</si>
  <si>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</si>
  <si>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</si>
  <si>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</si>
  <si>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</si>
  <si>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</si>
  <si>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</si>
  <si>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</si>
  <si>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</si>
  <si>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</si>
  <si>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</si>
  <si>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</si>
  <si>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</si>
  <si>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</si>
  <si>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</si>
  <si>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</si>
  <si>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</si>
  <si>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</si>
  <si>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</si>
  <si>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</si>
  <si>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</si>
  <si>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</si>
  <si>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</si>
  <si>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</si>
  <si>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</si>
  <si>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</si>
  <si>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</si>
  <si>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</si>
  <si>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</si>
  <si>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</si>
  <si>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</si>
  <si>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</si>
  <si>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</si>
  <si>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</si>
  <si>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</si>
  <si>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</si>
  <si>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</si>
  <si>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</si>
  <si>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</si>
  <si>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</si>
  <si>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</si>
  <si>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</si>
  <si>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</si>
  <si>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</si>
  <si>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</si>
  <si>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</si>
  <si>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</si>
  <si>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</si>
  <si>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</si>
  <si>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</si>
  <si>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</si>
  <si>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</si>
  <si>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</si>
  <si>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</si>
  <si>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</si>
  <si>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</si>
  <si>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</si>
  <si>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</si>
  <si>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</si>
  <si>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</si>
  <si>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</si>
  <si>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</si>
  <si>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</si>
  <si>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</si>
  <si>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</si>
  <si>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</si>
  <si>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</si>
  <si>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</si>
  <si>
    <t>Model Lookup Tool</t>
  </si>
  <si>
    <t>Search Model:</t>
  </si>
  <si>
    <t>Vehicle Segment</t>
  </si>
  <si>
    <t>Sales Rank (1 = highest)</t>
  </si>
  <si>
    <t>Launch Date</t>
  </si>
  <si>
    <t>Brand Lookup (VLOOKUP against Analysis!Brand Summary)</t>
  </si>
  <si>
    <t>Search Brand:</t>
  </si>
  <si>
    <t>Sales_in_thousands</t>
  </si>
  <si>
    <t>__year_resale_value</t>
  </si>
  <si>
    <t>Vehicle_type</t>
  </si>
  <si>
    <t>Price_in_thousands</t>
  </si>
  <si>
    <t>Engine_size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</si>
  <si>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</si>
  <si>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</si>
  <si>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</si>
  <si>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</si>
  <si>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</si>
  <si>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</si>
  <si>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</si>
  <si>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</si>
  <si>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Passenger</t>
  </si>
  <si>
    <t>2/2/2012</t>
  </si>
  <si>
    <t>6/3/2011</t>
  </si>
  <si>
    <t>1/4/2012</t>
  </si>
  <si>
    <t>3/10/2011</t>
  </si>
  <si>
    <t>10/8/2011</t>
  </si>
  <si>
    <t>8/9/2011</t>
  </si>
  <si>
    <t>2/27/2012</t>
  </si>
  <si>
    <t>6/28/2011</t>
  </si>
  <si>
    <t>1/29/2012</t>
  </si>
  <si>
    <t>4/4/2011</t>
  </si>
  <si>
    <t>11/2/2011</t>
  </si>
  <si>
    <t>9/3/2011</t>
  </si>
  <si>
    <t>3/23/2012</t>
  </si>
  <si>
    <t>7/23/2011</t>
  </si>
  <si>
    <t>2/23/2012</t>
  </si>
  <si>
    <t>4/29/2011</t>
  </si>
  <si>
    <t>11/27/2011</t>
  </si>
  <si>
    <t>9/28/2011</t>
  </si>
  <si>
    <t>Car</t>
  </si>
  <si>
    <t>4/17/2012</t>
  </si>
  <si>
    <t>8/17/2011</t>
  </si>
  <si>
    <t>3/19/2012</t>
  </si>
  <si>
    <t>5/24/2011</t>
  </si>
  <si>
    <t>12/22/2011</t>
  </si>
  <si>
    <t>10/23/2011</t>
  </si>
  <si>
    <t>5/12/2012</t>
  </si>
  <si>
    <t>9/11/2011</t>
  </si>
  <si>
    <t>4/13/2012</t>
  </si>
  <si>
    <t>6/18/2011</t>
  </si>
  <si>
    <t>1/16/2012</t>
  </si>
  <si>
    <t>11/17/2011</t>
  </si>
  <si>
    <t>6/6/2012</t>
  </si>
  <si>
    <t>10/6/2011</t>
  </si>
  <si>
    <t>5/8/2012</t>
  </si>
  <si>
    <t>7/13/2011</t>
  </si>
  <si>
    <t>2/10/2012</t>
  </si>
  <si>
    <t>12/12/2011</t>
  </si>
  <si>
    <t>7/1/2012</t>
  </si>
  <si>
    <t>10/31/2011</t>
  </si>
  <si>
    <t>6/2/2012</t>
  </si>
  <si>
    <t>8/7/2011</t>
  </si>
  <si>
    <t>3/6/2012</t>
  </si>
  <si>
    <t>1/6/2012</t>
  </si>
  <si>
    <t>7/26/2012</t>
  </si>
  <si>
    <t>11/25/2011</t>
  </si>
  <si>
    <t>6/27/2012</t>
  </si>
  <si>
    <t>9/1/2011</t>
  </si>
  <si>
    <t>3/31/2012</t>
  </si>
  <si>
    <t>1/31/2012</t>
  </si>
  <si>
    <t>8/20/2012</t>
  </si>
  <si>
    <t>12/20/2011</t>
  </si>
  <si>
    <t>7/22/2012</t>
  </si>
  <si>
    <t>9/26/2011</t>
  </si>
  <si>
    <t>4/25/2012</t>
  </si>
  <si>
    <t>2/25/2012</t>
  </si>
  <si>
    <t>9/14/2012</t>
  </si>
  <si>
    <t>1/14/2012</t>
  </si>
  <si>
    <t>8/16/2012</t>
  </si>
  <si>
    <t>10/21/2011</t>
  </si>
  <si>
    <t>5/20/2012</t>
  </si>
  <si>
    <t>3/21/2012</t>
  </si>
  <si>
    <t>10/9/2012</t>
  </si>
  <si>
    <t>2/8/2012</t>
  </si>
  <si>
    <t>9/10/2012</t>
  </si>
  <si>
    <t>11/15/2011</t>
  </si>
  <si>
    <t>6/14/2012</t>
  </si>
  <si>
    <t>4/15/2012</t>
  </si>
  <si>
    <t>11/3/2012</t>
  </si>
  <si>
    <t>3/4/2012</t>
  </si>
  <si>
    <t>10/5/2012</t>
  </si>
  <si>
    <t>12/10/2011</t>
  </si>
  <si>
    <t>7/9/2012</t>
  </si>
  <si>
    <t>5/10/2012</t>
  </si>
  <si>
    <t>11/28/2012</t>
  </si>
  <si>
    <t>3/29/2012</t>
  </si>
  <si>
    <t>10/30/2012</t>
  </si>
  <si>
    <t>8/3/2012</t>
  </si>
  <si>
    <t>Town car</t>
  </si>
  <si>
    <t>6/4/2012</t>
  </si>
  <si>
    <t>12/23/2012</t>
  </si>
  <si>
    <t>4/23/2012</t>
  </si>
  <si>
    <t>11/24/2012</t>
  </si>
  <si>
    <t>8/28/2012</t>
  </si>
  <si>
    <t>6/29/2012</t>
  </si>
  <si>
    <t>1/17/2012</t>
  </si>
  <si>
    <t>5/18/2012</t>
  </si>
  <si>
    <t>12/19/2012</t>
  </si>
  <si>
    <t>9/22/2012</t>
  </si>
  <si>
    <t>7/24/2012</t>
  </si>
  <si>
    <t>2/13/2008</t>
  </si>
  <si>
    <t>10/20/2009</t>
  </si>
  <si>
    <t>Mercedes-B</t>
  </si>
  <si>
    <t>4/24/2011</t>
  </si>
  <si>
    <t>7/12/2011</t>
  </si>
  <si>
    <t>6/13/2011</t>
  </si>
  <si>
    <t>3/17/2011</t>
  </si>
  <si>
    <t>1/16/2011</t>
  </si>
  <si>
    <t>8/6/2011</t>
  </si>
  <si>
    <t>7/8/2011</t>
  </si>
  <si>
    <t>4/11/2011</t>
  </si>
  <si>
    <t>2/10/2011</t>
  </si>
  <si>
    <t>8/31/2011</t>
  </si>
  <si>
    <t>8/2/2011</t>
  </si>
  <si>
    <t>5/6/2011</t>
  </si>
  <si>
    <t>3/7/2011</t>
  </si>
  <si>
    <t>9/25/2011</t>
  </si>
  <si>
    <t>1/24/2011</t>
  </si>
  <si>
    <t>8/27/2011</t>
  </si>
  <si>
    <t>5/31/2011</t>
  </si>
  <si>
    <t>4/1/2011</t>
  </si>
  <si>
    <t>2/18/2011</t>
  </si>
  <si>
    <t>9/21/2011</t>
  </si>
  <si>
    <t>6/25/2011</t>
  </si>
  <si>
    <t>4/26/2011</t>
  </si>
  <si>
    <t>11/14/2011</t>
  </si>
  <si>
    <t>1/25/2012</t>
  </si>
  <si>
    <t>11/26/2012</t>
  </si>
  <si>
    <t>6/16/2012</t>
  </si>
  <si>
    <t>10/15/2012</t>
  </si>
  <si>
    <t>5/18/2011</t>
  </si>
  <si>
    <t>2/19/2012</t>
  </si>
  <si>
    <t>12/21/2012</t>
  </si>
  <si>
    <t>7/11/2011</t>
  </si>
  <si>
    <t>5-Sep</t>
  </si>
  <si>
    <t>11/9/2012</t>
  </si>
  <si>
    <t>3-Sep</t>
  </si>
  <si>
    <t>6/12/2011</t>
  </si>
  <si>
    <t>3/16/2011</t>
  </si>
  <si>
    <t>1/15/2011</t>
  </si>
  <si>
    <t>8/5/2011</t>
  </si>
  <si>
    <t>12/4/2012</t>
  </si>
  <si>
    <t>7/7/2011</t>
  </si>
  <si>
    <t>12/29/2012</t>
  </si>
  <si>
    <t>8/1/2011</t>
  </si>
  <si>
    <t>10/20/2011</t>
  </si>
  <si>
    <t xml:space="preserve">Total Units Sold </t>
  </si>
  <si>
    <t>Avg Price ($)</t>
  </si>
  <si>
    <t>Total Units Sold</t>
  </si>
  <si>
    <t>Avg Resale Value ($)</t>
  </si>
  <si>
    <t xml:space="preserve">Units Sold </t>
  </si>
  <si>
    <t>Price, $ (VLOOKUP)</t>
  </si>
  <si>
    <t>Units Sold</t>
  </si>
  <si>
    <t>Revenue, $M</t>
  </si>
  <si>
    <t xml:space="preserve">Manufacturer </t>
  </si>
  <si>
    <t>Average Price, $</t>
  </si>
  <si>
    <t>Total Revenue,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</si>
</sst>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"/>
    <numFmt numFmtId="165" formatCode="#,##0.0"/>
    <numFmt numFmtId="166" formatCode="#,##0.000"/>
    <numFmt numFmtId="167" formatCode="\$#,##0.000"/>
    <numFmt numFmtId="168" formatCode="mm/dd/yyyy"/>
    <numFmt numFmtId="169" formatCode="\$#,##0.00"/>
    <numFmt numFmtId="170" formatCode="[$$-409]#,##0.00"/>
  </numFmts>
  <fonts count="13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i/>
      <sz val="8"/>
      <color rgb="FF808080"/>
      <name val="Arial"/>
      <charset val="1"/>
    </font>
    <font>
      <b/>
      <sz val="13"/>
      <color rgb="FF1F4E78"/>
      <name val="Arial"/>
      <charset val="1"/>
    </font>
    <font>
      <sz val="10"/>
      <name val="Arial"/>
      <charset val="1"/>
    </font>
    <font>
      <b/>
      <sz val="15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  <fill>
      <patternFill patternType="solid">
        <fgColor rgb="FFD9E6F5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9F9F9"/>
      </patternFill>
    </fill>
  </fills>
  <borders count="10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6D9"/>
      </left>
      <right/>
      <top style="thin">
        <color rgb="FFB7C6D9"/>
      </top>
      <bottom style="thin">
        <color rgb="FFB7C6D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5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5" fontId="9" fillId="0" borderId="1" xfId="0" applyNumberFormat="1" applyFont="1" applyBorder="1"/>
    <xf numFmtId="164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168" fontId="9" fillId="0" borderId="1" xfId="0" applyNumberFormat="1" applyFont="1" applyBorder="1"/>
    <xf numFmtId="169" fontId="9" fillId="0" borderId="1" xfId="0" applyNumberFormat="1" applyFont="1" applyBorder="1"/>
    <xf numFmtId="0" fontId="2" fillId="3" borderId="1" xfId="0" applyFont="1" applyFill="1" applyBorder="1"/>
    <xf numFmtId="0" fontId="9" fillId="0" borderId="0" xfId="0" applyFont="1"/>
    <xf numFmtId="0" fontId="2" fillId="0" borderId="1" xfId="0" applyFont="1" applyBorder="1"/>
    <xf numFmtId="0" fontId="9" fillId="0" borderId="2" xfId="0" applyFont="1" applyBorder="1"/>
    <xf numFmtId="0" fontId="12" fillId="5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0" fillId="0" borderId="9" xfId="0" applyBorder="1"/>
    <xf numFmtId="170" fontId="2" fillId="0" borderId="1" xfId="0" applyNumberFormat="1" applyFont="1" applyBorder="1"/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3" fontId="6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9" fillId="4" borderId="0" xfId="0" applyFont="1" applyFill="1" applyBorder="1" applyAlignment="1">
      <alignment wrapText="1"/>
    </xf>
    <xf numFmtId="0" fontId="9" fillId="4" borderId="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169" fontId="2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</cellXfs>
  <cellStyles count="1">
    <cellStyle name="Normal" xfId="0" builtinId="0"/>
  </cellStyles>
  <dxfs count="16">
    <dxf>
      <fill>
        <patternFill>
          <bgColor rgb="FFFFF2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7C6D9"/>
      <rgbColor rgb="FF808080"/>
      <rgbColor rgb="FF9999FF"/>
      <rgbColor rgb="FFC0504D"/>
      <rgbColor rgb="FFFFF2CC"/>
      <rgbColor rgb="FFD9E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A7EBB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Car Brand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Analysis!$D$5</c:f>
              <c:strCache>
                <c:ptCount val="1"/>
                <c:pt idx="0">
                  <c:v>Total Revenue ($M)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Analysis!$B$6:$B$35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Mercedes-Benz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Analysis!$D$6:$D$35</c:f>
              <c:numCache>
                <c:formatCode>\$#,##0.0</c:formatCode>
                <c:ptCount val="30"/>
                <c:pt idx="0">
                  <c:v>1842.9600999999998</c:v>
                </c:pt>
                <c:pt idx="1">
                  <c:v>1212.4650300000001</c:v>
                </c:pt>
                <c:pt idx="2">
                  <c:v>1523.0872300000001</c:v>
                </c:pt>
                <c:pt idx="3">
                  <c:v>6219.4866350000011</c:v>
                </c:pt>
                <c:pt idx="4">
                  <c:v>4541.0672949999998</c:v>
                </c:pt>
                <c:pt idx="5">
                  <c:v>9610.653260000001</c:v>
                </c:pt>
                <c:pt idx="6">
                  <c:v>3461.3129650000001</c:v>
                </c:pt>
                <c:pt idx="7">
                  <c:v>18000.608379999998</c:v>
                </c:pt>
                <c:pt idx="8">
                  <c:v>45776.128864999999</c:v>
                </c:pt>
                <c:pt idx="9">
                  <c:v>9940.3055750000003</c:v>
                </c:pt>
                <c:pt idx="10">
                  <c:v>1628.0630739999999</c:v>
                </c:pt>
                <c:pt idx="11">
                  <c:v>698.70354500000008</c:v>
                </c:pt>
                <c:pt idx="12">
                  <c:v>661.98759999999993</c:v>
                </c:pt>
                <c:pt idx="13">
                  <c:v>6768.56574</c:v>
                </c:pt>
                <c:pt idx="14">
                  <c:v>4058.7082149999997</c:v>
                </c:pt>
                <c:pt idx="15">
                  <c:v>3636.5199700000003</c:v>
                </c:pt>
                <c:pt idx="16">
                  <c:v>5364.2574000000004</c:v>
                </c:pt>
                <c:pt idx="17">
                  <c:v>5019.9884700000011</c:v>
                </c:pt>
                <c:pt idx="18">
                  <c:v>3535.0580449999998</c:v>
                </c:pt>
                <c:pt idx="19">
                  <c:v>8833.9031240000004</c:v>
                </c:pt>
                <c:pt idx="20">
                  <c:v>4199.6459109999996</c:v>
                </c:pt>
                <c:pt idx="21">
                  <c:v>1033.8347100000001</c:v>
                </c:pt>
                <c:pt idx="22">
                  <c:v>8074.5964549999999</c:v>
                </c:pt>
                <c:pt idx="23">
                  <c:v>602.92388000000005</c:v>
                </c:pt>
                <c:pt idx="24">
                  <c:v>620.60742000000005</c:v>
                </c:pt>
                <c:pt idx="25">
                  <c:v>2153.6504900000004</c:v>
                </c:pt>
                <c:pt idx="26">
                  <c:v>1732.791025</c:v>
                </c:pt>
                <c:pt idx="27">
                  <c:v>13288.560856</c:v>
                </c:pt>
                <c:pt idx="28">
                  <c:v>3702.6180100000001</c:v>
                </c:pt>
                <c:pt idx="29">
                  <c:v>2249.2375999999995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E-4A3C-9699-261F205D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39777"/>
        <c:axId val="28753750"/>
      </c:barChart>
      <c:catAx>
        <c:axId val="606397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53750"/>
        <c:crosses val="autoZero"/>
        <c:auto val="1"/>
        <c:lblAlgn val="ctr"/>
        <c:lblOffset val="100"/>
        <c:noMultiLvlLbl val="0"/>
      </c:catAx>
      <c:valAx>
        <c:axId val="287537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397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Cars Sold by Brand (000s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Analysis!$C$5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Analysis!$B$6:$B$35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Mercedes-Benz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Analysis!$C$6:$C$35</c:f>
              <c:numCache>
                <c:formatCode>#,##0.0</c:formatCode>
                <c:ptCount val="30"/>
                <c:pt idx="0">
                  <c:v>79.004999999999995</c:v>
                </c:pt>
                <c:pt idx="1">
                  <c:v>40.557000000000002</c:v>
                </c:pt>
                <c:pt idx="2">
                  <c:v>46.505000000000003</c:v>
                </c:pt>
                <c:pt idx="3">
                  <c:v>242.01900000000001</c:v>
                </c:pt>
                <c:pt idx="4">
                  <c:v>112.178</c:v>
                </c:pt>
                <c:pt idx="5">
                  <c:v>554.36500000000001</c:v>
                </c:pt>
                <c:pt idx="6">
                  <c:v>201.721</c:v>
                </c:pt>
                <c:pt idx="7">
                  <c:v>910.149</c:v>
                </c:pt>
                <c:pt idx="8">
                  <c:v>2022.6350000000002</c:v>
                </c:pt>
                <c:pt idx="9">
                  <c:v>592.67399999999998</c:v>
                </c:pt>
                <c:pt idx="10">
                  <c:v>137.32599999999999</c:v>
                </c:pt>
                <c:pt idx="11">
                  <c:v>23.713000000000001</c:v>
                </c:pt>
                <c:pt idx="12">
                  <c:v>15.467000000000001</c:v>
                </c:pt>
                <c:pt idx="13">
                  <c:v>293.15300000000002</c:v>
                </c:pt>
                <c:pt idx="14">
                  <c:v>106.84299999999999</c:v>
                </c:pt>
                <c:pt idx="15">
                  <c:v>85.634</c:v>
                </c:pt>
                <c:pt idx="16">
                  <c:v>117.125</c:v>
                </c:pt>
                <c:pt idx="17">
                  <c:v>237.99900000000002</c:v>
                </c:pt>
                <c:pt idx="18">
                  <c:v>180.89499999999998</c:v>
                </c:pt>
                <c:pt idx="19">
                  <c:v>399.63499999999999</c:v>
                </c:pt>
                <c:pt idx="20">
                  <c:v>178.98899999999998</c:v>
                </c:pt>
                <c:pt idx="21">
                  <c:v>64.001000000000005</c:v>
                </c:pt>
                <c:pt idx="22">
                  <c:v>370.53400000000005</c:v>
                </c:pt>
                <c:pt idx="23">
                  <c:v>12.127999999999998</c:v>
                </c:pt>
                <c:pt idx="24">
                  <c:v>21.306000000000001</c:v>
                </c:pt>
                <c:pt idx="25">
                  <c:v>168.85</c:v>
                </c:pt>
                <c:pt idx="26">
                  <c:v>80.134999999999991</c:v>
                </c:pt>
                <c:pt idx="27">
                  <c:v>740.20500000000015</c:v>
                </c:pt>
                <c:pt idx="28">
                  <c:v>209.21199999999999</c:v>
                </c:pt>
                <c:pt idx="29">
                  <c:v>75.740000000000009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C-4A51-861C-934641952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0086"/>
        <c:axId val="21315365"/>
      </c:barChart>
      <c:catAx>
        <c:axId val="1079008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15365"/>
        <c:crosses val="autoZero"/>
        <c:auto val="1"/>
        <c:lblAlgn val="ctr"/>
        <c:lblOffset val="100"/>
        <c:noMultiLvlLbl val="0"/>
      </c:catAx>
      <c:valAx>
        <c:axId val="213153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900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Price by Brand ($000)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Analysis!$E$5</c:f>
              <c:strCache>
                <c:ptCount val="1"/>
                <c:pt idx="0">
                  <c:v>Avg Price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Analysis!$B$6:$B$35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Mercedes-Benz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Analysis!$E$6:$E$35</c:f>
              <c:numCache>
                <c:formatCode>\$#,##0.0</c:formatCode>
                <c:ptCount val="30"/>
                <c:pt idx="0">
                  <c:v>30.633333333333336</c:v>
                </c:pt>
                <c:pt idx="1">
                  <c:v>39.979999999999997</c:v>
                </c:pt>
                <c:pt idx="2">
                  <c:v>33.096666666666664</c:v>
                </c:pt>
                <c:pt idx="3">
                  <c:v>26.781250000000004</c:v>
                </c:pt>
                <c:pt idx="4">
                  <c:v>40.253999999999998</c:v>
                </c:pt>
                <c:pt idx="5">
                  <c:v>20.022777777777776</c:v>
                </c:pt>
                <c:pt idx="6">
                  <c:v>23.430833333333336</c:v>
                </c:pt>
                <c:pt idx="7">
                  <c:v>24.213636363636361</c:v>
                </c:pt>
                <c:pt idx="8">
                  <c:v>21.047272727272727</c:v>
                </c:pt>
                <c:pt idx="9">
                  <c:v>20.276999999999997</c:v>
                </c:pt>
                <c:pt idx="10">
                  <c:v>12.165666666666667</c:v>
                </c:pt>
                <c:pt idx="11">
                  <c:v>29.465</c:v>
                </c:pt>
                <c:pt idx="12">
                  <c:v>42.8</c:v>
                </c:pt>
                <c:pt idx="13">
                  <c:v>20.991666666666664</c:v>
                </c:pt>
                <c:pt idx="14">
                  <c:v>44.055</c:v>
                </c:pt>
                <c:pt idx="15">
                  <c:v>41.69</c:v>
                </c:pt>
                <c:pt idx="16">
                  <c:v>52.916666666666671</c:v>
                </c:pt>
                <c:pt idx="17">
                  <c:v>20.748333333333335</c:v>
                </c:pt>
                <c:pt idx="18">
                  <c:v>22.167428571428577</c:v>
                </c:pt>
                <c:pt idx="19">
                  <c:v>22.360714285714291</c:v>
                </c:pt>
                <c:pt idx="20">
                  <c:v>25.622833333333332</c:v>
                </c:pt>
                <c:pt idx="21">
                  <c:v>22.642499999999998</c:v>
                </c:pt>
                <c:pt idx="22">
                  <c:v>22.949166666666667</c:v>
                </c:pt>
                <c:pt idx="23">
                  <c:v>62.473333333333329</c:v>
                </c:pt>
                <c:pt idx="24">
                  <c:v>29.61</c:v>
                </c:pt>
                <c:pt idx="25">
                  <c:v>14.271000000000001</c:v>
                </c:pt>
                <c:pt idx="26">
                  <c:v>21.395</c:v>
                </c:pt>
                <c:pt idx="27">
                  <c:v>21.982888888888894</c:v>
                </c:pt>
                <c:pt idx="28">
                  <c:v>17.698333333333334</c:v>
                </c:pt>
                <c:pt idx="29">
                  <c:v>30.933333333333334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3-49F0-B11F-D188792EB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3151"/>
        <c:axId val="86849849"/>
      </c:barChart>
      <c:catAx>
        <c:axId val="2097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49849"/>
        <c:crosses val="autoZero"/>
        <c:auto val="1"/>
        <c:lblAlgn val="ctr"/>
        <c:lblOffset val="100"/>
        <c:noMultiLvlLbl val="0"/>
      </c:catAx>
      <c:valAx>
        <c:axId val="868498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731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Launch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Analysis!$C$50</c:f>
              <c:strCache>
                <c:ptCount val="1"/>
                <c:pt idx="0">
                  <c:v>Total Units Sold 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Analysis!$B$51:$B$54</c:f>
              <c:numCache>
                <c:formatCode>General</c:formatCode>
                <c:ptCount val="4"/>
                <c:pt idx="0">
                  <c:v>2008</c:v>
                </c:pt>
                <c:pt idx="1">
                  <c:v>2009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Analysis!$C$51:$C$54</c:f>
              <c:numCache>
                <c:formatCode>#,##0.0</c:formatCode>
                <c:ptCount val="4"/>
                <c:pt idx="0">
                  <c:v>27.609000000000002</c:v>
                </c:pt>
                <c:pt idx="1">
                  <c:v>100.63499999999999</c:v>
                </c:pt>
                <c:pt idx="2">
                  <c:v>3717.4050000000007</c:v>
                </c:pt>
                <c:pt idx="3">
                  <c:v>4475.0489999999991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81-4109-AA8B-A28C97970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875233"/>
        <c:axId val="36505750"/>
      </c:lineChart>
      <c:catAx>
        <c:axId val="488752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Launch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05750"/>
        <c:crosses val="autoZero"/>
        <c:auto val="1"/>
        <c:lblAlgn val="ctr"/>
        <c:lblOffset val="100"/>
        <c:noMultiLvlLbl val="0"/>
      </c:catAx>
      <c:valAx>
        <c:axId val="36505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 Sold (000s)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752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Best-Selling Models (000s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Analysis!$E$57</c:f>
              <c:strCache>
                <c:ptCount val="1"/>
                <c:pt idx="0">
                  <c:v>Units Sold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Analysis!$C$58:$C$67</c:f>
              <c:strCache>
                <c:ptCount val="10"/>
                <c:pt idx="0">
                  <c:v>F-Series</c:v>
                </c:pt>
                <c:pt idx="1">
                  <c:v>Explorer</c:v>
                </c:pt>
                <c:pt idx="2">
                  <c:v>Camry</c:v>
                </c:pt>
                <c:pt idx="3">
                  <c:v>Taurus</c:v>
                </c:pt>
                <c:pt idx="4">
                  <c:v>Accord</c:v>
                </c:pt>
                <c:pt idx="5">
                  <c:v>Ram Pickup</c:v>
                </c:pt>
                <c:pt idx="6">
                  <c:v>Ranger</c:v>
                </c:pt>
                <c:pt idx="7">
                  <c:v>Civic</c:v>
                </c:pt>
                <c:pt idx="8">
                  <c:v>Caravan</c:v>
                </c:pt>
                <c:pt idx="9">
                  <c:v>Focus</c:v>
                </c:pt>
              </c:strCache>
            </c:strRef>
          </c:cat>
          <c:val>
            <c:numRef>
              <c:f>Analysis!$E$58:$E$67</c:f>
              <c:numCache>
                <c:formatCode>#,##0.0</c:formatCode>
                <c:ptCount val="10"/>
                <c:pt idx="0">
                  <c:v>540.56100000000004</c:v>
                </c:pt>
                <c:pt idx="1">
                  <c:v>276.74700000000001</c:v>
                </c:pt>
                <c:pt idx="2">
                  <c:v>247.994</c:v>
                </c:pt>
                <c:pt idx="3">
                  <c:v>245.815</c:v>
                </c:pt>
                <c:pt idx="4">
                  <c:v>230.90199999999999</c:v>
                </c:pt>
                <c:pt idx="5">
                  <c:v>227.06100000000001</c:v>
                </c:pt>
                <c:pt idx="6">
                  <c:v>220.65</c:v>
                </c:pt>
                <c:pt idx="7">
                  <c:v>199.685</c:v>
                </c:pt>
                <c:pt idx="8">
                  <c:v>181.749</c:v>
                </c:pt>
                <c:pt idx="9">
                  <c:v>175.67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B-47BF-9F5D-0B57371AB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6057"/>
        <c:axId val="34883786"/>
      </c:barChart>
      <c:catAx>
        <c:axId val="3597605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883786"/>
        <c:crosses val="autoZero"/>
        <c:auto val="1"/>
        <c:lblAlgn val="ctr"/>
        <c:lblOffset val="100"/>
        <c:noMultiLvlLbl val="0"/>
      </c:catAx>
      <c:valAx>
        <c:axId val="348837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76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Vehicle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Analysis!$C$39</c:f>
              <c:strCache>
                <c:ptCount val="1"/>
                <c:pt idx="0">
                  <c:v>Total Units Sold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7DC-4803-89A8-9787D0E29AC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7DC-4803-89A8-9787D0E29AC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DC-4803-89A8-9787D0E29AC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DC-4803-89A8-9787D0E29A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Analysis!$B$40:$B$41</c:f>
              <c:strCache>
                <c:ptCount val="2"/>
                <c:pt idx="0">
                  <c:v>Passenger Car</c:v>
                </c:pt>
                <c:pt idx="1">
                  <c:v>SUV/Truck/Van</c:v>
                </c:pt>
              </c:strCache>
            </c:strRef>
          </c:cat>
          <c:val>
            <c:numRef>
              <c:f>Analysis!$C$40:$C$41</c:f>
              <c:numCache>
                <c:formatCode>#,##0.0</c:formatCode>
                <c:ptCount val="2"/>
                <c:pt idx="0">
                  <c:v>5015.1840000000002</c:v>
                </c:pt>
                <c:pt idx="1">
                  <c:v>3305.5140000000006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DC-4803-89A8-9787D0E29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Price Tier (Budget / Mid-range / Luxury)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Analysis!$C$44</c:f>
              <c:strCache>
                <c:ptCount val="1"/>
                <c:pt idx="0">
                  <c:v>Total Units Sold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Analysis!$B$45:$B$47</c:f>
              <c:strCache>
                <c:ptCount val="3"/>
                <c:pt idx="0">
                  <c:v>Budget</c:v>
                </c:pt>
                <c:pt idx="1">
                  <c:v>Mid-range</c:v>
                </c:pt>
                <c:pt idx="2">
                  <c:v>Luxury</c:v>
                </c:pt>
              </c:strCache>
            </c:strRef>
          </c:cat>
          <c:val>
            <c:numRef>
              <c:f>Analysis!$C$45:$C$47</c:f>
              <c:numCache>
                <c:formatCode>#,##0.0</c:formatCode>
                <c:ptCount val="3"/>
                <c:pt idx="0">
                  <c:v>1583.203</c:v>
                </c:pt>
                <c:pt idx="1">
                  <c:v>5626.8169999999991</c:v>
                </c:pt>
                <c:pt idx="2">
                  <c:v>1043.0840000000001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F-44FE-AD6C-BCFAD2109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534979"/>
        <c:axId val="26537095"/>
      </c:barChart>
      <c:catAx>
        <c:axId val="955349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537095"/>
        <c:crosses val="autoZero"/>
        <c:auto val="1"/>
        <c:lblAlgn val="ctr"/>
        <c:lblOffset val="100"/>
        <c:noMultiLvlLbl val="0"/>
      </c:catAx>
      <c:valAx>
        <c:axId val="26537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534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Price vs. Units Sold (does higher price mean lower sales?)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 vs Units Sold</c:v>
          </c:tx>
          <c:spPr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'Cleaned Data'!$E$2:$E$158</c:f>
              <c:numCache>
                <c:formatCode>\$#,##0.000</c:formatCode>
                <c:ptCount val="157"/>
                <c:pt idx="0">
                  <c:v>21.5</c:v>
                </c:pt>
                <c:pt idx="1">
                  <c:v>28.4</c:v>
                </c:pt>
                <c:pt idx="3">
                  <c:v>42</c:v>
                </c:pt>
                <c:pt idx="4">
                  <c:v>23.99</c:v>
                </c:pt>
                <c:pt idx="5">
                  <c:v>33.950000000000003</c:v>
                </c:pt>
                <c:pt idx="6">
                  <c:v>62</c:v>
                </c:pt>
                <c:pt idx="7">
                  <c:v>26.99</c:v>
                </c:pt>
                <c:pt idx="8">
                  <c:v>33.4</c:v>
                </c:pt>
                <c:pt idx="9">
                  <c:v>38.9</c:v>
                </c:pt>
                <c:pt idx="10">
                  <c:v>21.975000000000001</c:v>
                </c:pt>
                <c:pt idx="11">
                  <c:v>25.3</c:v>
                </c:pt>
                <c:pt idx="12">
                  <c:v>31.965</c:v>
                </c:pt>
                <c:pt idx="13">
                  <c:v>27.885000000000002</c:v>
                </c:pt>
                <c:pt idx="14">
                  <c:v>39.895000000000003</c:v>
                </c:pt>
                <c:pt idx="15">
                  <c:v>44.475000000000001</c:v>
                </c:pt>
                <c:pt idx="16">
                  <c:v>39.664999999999999</c:v>
                </c:pt>
                <c:pt idx="17">
                  <c:v>31.01</c:v>
                </c:pt>
                <c:pt idx="18">
                  <c:v>46.225000000000001</c:v>
                </c:pt>
                <c:pt idx="19">
                  <c:v>13.26</c:v>
                </c:pt>
                <c:pt idx="20">
                  <c:v>16.535</c:v>
                </c:pt>
                <c:pt idx="21">
                  <c:v>18.89</c:v>
                </c:pt>
                <c:pt idx="22">
                  <c:v>19.39</c:v>
                </c:pt>
                <c:pt idx="23">
                  <c:v>24.34</c:v>
                </c:pt>
                <c:pt idx="24">
                  <c:v>45.704999999999998</c:v>
                </c:pt>
                <c:pt idx="25">
                  <c:v>13.96</c:v>
                </c:pt>
                <c:pt idx="26">
                  <c:v>9.2349999999999994</c:v>
                </c:pt>
                <c:pt idx="27">
                  <c:v>18.89</c:v>
                </c:pt>
                <c:pt idx="28">
                  <c:v>19.84</c:v>
                </c:pt>
                <c:pt idx="29">
                  <c:v>24.495000000000001</c:v>
                </c:pt>
                <c:pt idx="30">
                  <c:v>22.245000000000001</c:v>
                </c:pt>
                <c:pt idx="31">
                  <c:v>16.48</c:v>
                </c:pt>
                <c:pt idx="32">
                  <c:v>28.34</c:v>
                </c:pt>
                <c:pt idx="34">
                  <c:v>29.184999999999999</c:v>
                </c:pt>
                <c:pt idx="35">
                  <c:v>12.64</c:v>
                </c:pt>
                <c:pt idx="36">
                  <c:v>19.045000000000002</c:v>
                </c:pt>
                <c:pt idx="37">
                  <c:v>20.23</c:v>
                </c:pt>
                <c:pt idx="38">
                  <c:v>22.504999999999999</c:v>
                </c:pt>
                <c:pt idx="39">
                  <c:v>69.724999999999994</c:v>
                </c:pt>
                <c:pt idx="40">
                  <c:v>19.46</c:v>
                </c:pt>
                <c:pt idx="41">
                  <c:v>21.315000000000001</c:v>
                </c:pt>
                <c:pt idx="42">
                  <c:v>18.574999999999999</c:v>
                </c:pt>
                <c:pt idx="43">
                  <c:v>16.98</c:v>
                </c:pt>
                <c:pt idx="44">
                  <c:v>26.31</c:v>
                </c:pt>
                <c:pt idx="45">
                  <c:v>19.565000000000001</c:v>
                </c:pt>
                <c:pt idx="46">
                  <c:v>12.07</c:v>
                </c:pt>
                <c:pt idx="47">
                  <c:v>21.56</c:v>
                </c:pt>
                <c:pt idx="48">
                  <c:v>17.035</c:v>
                </c:pt>
                <c:pt idx="49">
                  <c:v>17.885000000000002</c:v>
                </c:pt>
                <c:pt idx="50">
                  <c:v>12.315</c:v>
                </c:pt>
                <c:pt idx="51">
                  <c:v>22.195</c:v>
                </c:pt>
                <c:pt idx="52">
                  <c:v>31.93</c:v>
                </c:pt>
                <c:pt idx="53">
                  <c:v>21.41</c:v>
                </c:pt>
                <c:pt idx="54">
                  <c:v>36.134999999999998</c:v>
                </c:pt>
                <c:pt idx="55">
                  <c:v>12.05</c:v>
                </c:pt>
                <c:pt idx="56">
                  <c:v>26.934999999999999</c:v>
                </c:pt>
                <c:pt idx="57">
                  <c:v>12.885</c:v>
                </c:pt>
                <c:pt idx="58">
                  <c:v>15.35</c:v>
                </c:pt>
                <c:pt idx="59">
                  <c:v>20.55</c:v>
                </c:pt>
                <c:pt idx="60">
                  <c:v>26.6</c:v>
                </c:pt>
                <c:pt idx="61">
                  <c:v>26</c:v>
                </c:pt>
                <c:pt idx="62">
                  <c:v>9.6989999999999998</c:v>
                </c:pt>
                <c:pt idx="63">
                  <c:v>11.798999999999999</c:v>
                </c:pt>
                <c:pt idx="64">
                  <c:v>14.999000000000001</c:v>
                </c:pt>
                <c:pt idx="65">
                  <c:v>29.465</c:v>
                </c:pt>
                <c:pt idx="66">
                  <c:v>42.8</c:v>
                </c:pt>
                <c:pt idx="67">
                  <c:v>14.46</c:v>
                </c:pt>
                <c:pt idx="68">
                  <c:v>21.62</c:v>
                </c:pt>
                <c:pt idx="69">
                  <c:v>26.895</c:v>
                </c:pt>
                <c:pt idx="70">
                  <c:v>31.504999999999999</c:v>
                </c:pt>
                <c:pt idx="71">
                  <c:v>37.805</c:v>
                </c:pt>
                <c:pt idx="72">
                  <c:v>46.305</c:v>
                </c:pt>
                <c:pt idx="73">
                  <c:v>54.005000000000003</c:v>
                </c:pt>
                <c:pt idx="74">
                  <c:v>60.104999999999997</c:v>
                </c:pt>
                <c:pt idx="75">
                  <c:v>34.604999999999997</c:v>
                </c:pt>
                <c:pt idx="76">
                  <c:v>39.08</c:v>
                </c:pt>
                <c:pt idx="77">
                  <c:v>43.33</c:v>
                </c:pt>
                <c:pt idx="78">
                  <c:v>42.66</c:v>
                </c:pt>
                <c:pt idx="79">
                  <c:v>13.987</c:v>
                </c:pt>
                <c:pt idx="80">
                  <c:v>19.047000000000001</c:v>
                </c:pt>
                <c:pt idx="81">
                  <c:v>17.356999999999999</c:v>
                </c:pt>
                <c:pt idx="82">
                  <c:v>24.997</c:v>
                </c:pt>
                <c:pt idx="83">
                  <c:v>25.45</c:v>
                </c:pt>
                <c:pt idx="84">
                  <c:v>31.806999999999999</c:v>
                </c:pt>
                <c:pt idx="85">
                  <c:v>22.527000000000001</c:v>
                </c:pt>
                <c:pt idx="86">
                  <c:v>16.239999999999998</c:v>
                </c:pt>
                <c:pt idx="87">
                  <c:v>16.54</c:v>
                </c:pt>
                <c:pt idx="88">
                  <c:v>19.035</c:v>
                </c:pt>
                <c:pt idx="89">
                  <c:v>22.605</c:v>
                </c:pt>
                <c:pt idx="90">
                  <c:v>27.56</c:v>
                </c:pt>
                <c:pt idx="91">
                  <c:v>22.51</c:v>
                </c:pt>
                <c:pt idx="92">
                  <c:v>31.75</c:v>
                </c:pt>
                <c:pt idx="93">
                  <c:v>49.9</c:v>
                </c:pt>
                <c:pt idx="94">
                  <c:v>69.7</c:v>
                </c:pt>
                <c:pt idx="95">
                  <c:v>82.6</c:v>
                </c:pt>
                <c:pt idx="96">
                  <c:v>38.9</c:v>
                </c:pt>
                <c:pt idx="97">
                  <c:v>41</c:v>
                </c:pt>
                <c:pt idx="98">
                  <c:v>41.6</c:v>
                </c:pt>
                <c:pt idx="99">
                  <c:v>85.5</c:v>
                </c:pt>
                <c:pt idx="100">
                  <c:v>35.299999999999997</c:v>
                </c:pt>
                <c:pt idx="101">
                  <c:v>13.499000000000001</c:v>
                </c:pt>
                <c:pt idx="102">
                  <c:v>20.39</c:v>
                </c:pt>
                <c:pt idx="103">
                  <c:v>26.248999999999999</c:v>
                </c:pt>
                <c:pt idx="104">
                  <c:v>26.399000000000001</c:v>
                </c:pt>
                <c:pt idx="105">
                  <c:v>29.298999999999999</c:v>
                </c:pt>
                <c:pt idx="106">
                  <c:v>22.798999999999999</c:v>
                </c:pt>
                <c:pt idx="107">
                  <c:v>17.89</c:v>
                </c:pt>
                <c:pt idx="108">
                  <c:v>18.145</c:v>
                </c:pt>
                <c:pt idx="109">
                  <c:v>24.15</c:v>
                </c:pt>
                <c:pt idx="110">
                  <c:v>18.27</c:v>
                </c:pt>
                <c:pt idx="111">
                  <c:v>36.228999999999999</c:v>
                </c:pt>
                <c:pt idx="112">
                  <c:v>31.597999999999999</c:v>
                </c:pt>
                <c:pt idx="113">
                  <c:v>25.344999999999999</c:v>
                </c:pt>
                <c:pt idx="114">
                  <c:v>12.64</c:v>
                </c:pt>
                <c:pt idx="115">
                  <c:v>16.079999999999998</c:v>
                </c:pt>
                <c:pt idx="116">
                  <c:v>18.850000000000001</c:v>
                </c:pt>
                <c:pt idx="117">
                  <c:v>43</c:v>
                </c:pt>
                <c:pt idx="118">
                  <c:v>21.61</c:v>
                </c:pt>
                <c:pt idx="119">
                  <c:v>19.72</c:v>
                </c:pt>
                <c:pt idx="120">
                  <c:v>25.31</c:v>
                </c:pt>
                <c:pt idx="121">
                  <c:v>21.664999999999999</c:v>
                </c:pt>
                <c:pt idx="122">
                  <c:v>23.754999999999999</c:v>
                </c:pt>
                <c:pt idx="123">
                  <c:v>25.635000000000002</c:v>
                </c:pt>
                <c:pt idx="124">
                  <c:v>41.43</c:v>
                </c:pt>
                <c:pt idx="125">
                  <c:v>71.02</c:v>
                </c:pt>
                <c:pt idx="126">
                  <c:v>74.97</c:v>
                </c:pt>
                <c:pt idx="127">
                  <c:v>33.119999999999997</c:v>
                </c:pt>
                <c:pt idx="128">
                  <c:v>26.1</c:v>
                </c:pt>
                <c:pt idx="129">
                  <c:v>10.685</c:v>
                </c:pt>
                <c:pt idx="130">
                  <c:v>12.535</c:v>
                </c:pt>
                <c:pt idx="131">
                  <c:v>14.29</c:v>
                </c:pt>
                <c:pt idx="132">
                  <c:v>18.835000000000001</c:v>
                </c:pt>
                <c:pt idx="133">
                  <c:v>15.01</c:v>
                </c:pt>
                <c:pt idx="134">
                  <c:v>22.695</c:v>
                </c:pt>
                <c:pt idx="135">
                  <c:v>20.094999999999999</c:v>
                </c:pt>
                <c:pt idx="136">
                  <c:v>13.108000000000001</c:v>
                </c:pt>
                <c:pt idx="137">
                  <c:v>17.518000000000001</c:v>
                </c:pt>
                <c:pt idx="138">
                  <c:v>25.545000000000002</c:v>
                </c:pt>
                <c:pt idx="139">
                  <c:v>16.875</c:v>
                </c:pt>
                <c:pt idx="140">
                  <c:v>11.528</c:v>
                </c:pt>
                <c:pt idx="141">
                  <c:v>22.367999999999999</c:v>
                </c:pt>
                <c:pt idx="142">
                  <c:v>16.888000000000002</c:v>
                </c:pt>
                <c:pt idx="143">
                  <c:v>22.288</c:v>
                </c:pt>
                <c:pt idx="144">
                  <c:v>51.728000000000002</c:v>
                </c:pt>
                <c:pt idx="145">
                  <c:v>14.9</c:v>
                </c:pt>
                <c:pt idx="146">
                  <c:v>16.7</c:v>
                </c:pt>
                <c:pt idx="147">
                  <c:v>21.2</c:v>
                </c:pt>
                <c:pt idx="148">
                  <c:v>19.989999999999998</c:v>
                </c:pt>
                <c:pt idx="149">
                  <c:v>17.5</c:v>
                </c:pt>
                <c:pt idx="150">
                  <c:v>15.9</c:v>
                </c:pt>
                <c:pt idx="151">
                  <c:v>23.4</c:v>
                </c:pt>
                <c:pt idx="152">
                  <c:v>24.4</c:v>
                </c:pt>
                <c:pt idx="153">
                  <c:v>27.5</c:v>
                </c:pt>
                <c:pt idx="154">
                  <c:v>28.8</c:v>
                </c:pt>
                <c:pt idx="155">
                  <c:v>45.5</c:v>
                </c:pt>
                <c:pt idx="156">
                  <c:v>36</c:v>
                </c:pt>
              </c:numCache>
            </c:numRef>
          </c:xVal>
          <c:yVal>
            <c:numRef>
              <c:f>'Cleaned Data'!$D$2:$D$158</c:f>
              <c:numCache>
                <c:formatCode>#,##0.000</c:formatCode>
                <c:ptCount val="157"/>
                <c:pt idx="0">
                  <c:v>16.919</c:v>
                </c:pt>
                <c:pt idx="1">
                  <c:v>39.384</c:v>
                </c:pt>
                <c:pt idx="2">
                  <c:v>14.114000000000001</c:v>
                </c:pt>
                <c:pt idx="3">
                  <c:v>8.5879999999999992</c:v>
                </c:pt>
                <c:pt idx="4">
                  <c:v>20.396999999999998</c:v>
                </c:pt>
                <c:pt idx="5">
                  <c:v>18.78</c:v>
                </c:pt>
                <c:pt idx="6">
                  <c:v>1.38</c:v>
                </c:pt>
                <c:pt idx="7">
                  <c:v>19.747</c:v>
                </c:pt>
                <c:pt idx="8">
                  <c:v>9.2309999999999999</c:v>
                </c:pt>
                <c:pt idx="9">
                  <c:v>17.527000000000001</c:v>
                </c:pt>
                <c:pt idx="10">
                  <c:v>91.561000000000007</c:v>
                </c:pt>
                <c:pt idx="11">
                  <c:v>39.35</c:v>
                </c:pt>
                <c:pt idx="12">
                  <c:v>27.850999999999999</c:v>
                </c:pt>
                <c:pt idx="13">
                  <c:v>83.257000000000005</c:v>
                </c:pt>
                <c:pt idx="14">
                  <c:v>63.728999999999999</c:v>
                </c:pt>
                <c:pt idx="15">
                  <c:v>15.943</c:v>
                </c:pt>
                <c:pt idx="16">
                  <c:v>6.5359999999999996</c:v>
                </c:pt>
                <c:pt idx="17">
                  <c:v>11.185</c:v>
                </c:pt>
                <c:pt idx="18">
                  <c:v>14.785</c:v>
                </c:pt>
                <c:pt idx="19">
                  <c:v>145.51900000000001</c:v>
                </c:pt>
                <c:pt idx="20">
                  <c:v>135.126</c:v>
                </c:pt>
                <c:pt idx="21">
                  <c:v>24.629000000000001</c:v>
                </c:pt>
                <c:pt idx="22">
                  <c:v>42.593000000000004</c:v>
                </c:pt>
                <c:pt idx="23">
                  <c:v>26.402000000000001</c:v>
                </c:pt>
                <c:pt idx="24">
                  <c:v>17.946999999999999</c:v>
                </c:pt>
                <c:pt idx="25">
                  <c:v>32.298999999999999</c:v>
                </c:pt>
                <c:pt idx="26">
                  <c:v>21.855</c:v>
                </c:pt>
                <c:pt idx="27">
                  <c:v>107.995</c:v>
                </c:pt>
                <c:pt idx="28">
                  <c:v>7.8540000000000001</c:v>
                </c:pt>
                <c:pt idx="29">
                  <c:v>32.774999999999999</c:v>
                </c:pt>
                <c:pt idx="30">
                  <c:v>31.148</c:v>
                </c:pt>
                <c:pt idx="31">
                  <c:v>32.305999999999997</c:v>
                </c:pt>
                <c:pt idx="32">
                  <c:v>13.462</c:v>
                </c:pt>
                <c:pt idx="33">
                  <c:v>53.48</c:v>
                </c:pt>
                <c:pt idx="34">
                  <c:v>30.696000000000002</c:v>
                </c:pt>
                <c:pt idx="35">
                  <c:v>76.034000000000006</c:v>
                </c:pt>
                <c:pt idx="36">
                  <c:v>4.734</c:v>
                </c:pt>
                <c:pt idx="37">
                  <c:v>71.186000000000007</c:v>
                </c:pt>
                <c:pt idx="38">
                  <c:v>88.028000000000006</c:v>
                </c:pt>
                <c:pt idx="39">
                  <c:v>0.91600000000000004</c:v>
                </c:pt>
                <c:pt idx="40">
                  <c:v>227.06100000000001</c:v>
                </c:pt>
                <c:pt idx="41">
                  <c:v>16.766999999999999</c:v>
                </c:pt>
                <c:pt idx="42">
                  <c:v>31.038</c:v>
                </c:pt>
                <c:pt idx="43">
                  <c:v>111.313</c:v>
                </c:pt>
                <c:pt idx="44">
                  <c:v>101.32299999999999</c:v>
                </c:pt>
                <c:pt idx="45">
                  <c:v>181.749</c:v>
                </c:pt>
                <c:pt idx="46">
                  <c:v>70.227000000000004</c:v>
                </c:pt>
                <c:pt idx="47">
                  <c:v>113.369</c:v>
                </c:pt>
                <c:pt idx="48">
                  <c:v>35.067999999999998</c:v>
                </c:pt>
                <c:pt idx="49">
                  <c:v>245.815</c:v>
                </c:pt>
                <c:pt idx="50">
                  <c:v>175.67</c:v>
                </c:pt>
                <c:pt idx="51">
                  <c:v>63.402999999999999</c:v>
                </c:pt>
                <c:pt idx="52">
                  <c:v>276.74700000000001</c:v>
                </c:pt>
                <c:pt idx="53">
                  <c:v>155.78700000000001</c:v>
                </c:pt>
                <c:pt idx="54">
                  <c:v>125.33799999999999</c:v>
                </c:pt>
                <c:pt idx="55">
                  <c:v>220.65</c:v>
                </c:pt>
                <c:pt idx="56">
                  <c:v>540.56100000000004</c:v>
                </c:pt>
                <c:pt idx="57">
                  <c:v>199.685</c:v>
                </c:pt>
                <c:pt idx="58">
                  <c:v>230.90199999999999</c:v>
                </c:pt>
                <c:pt idx="59">
                  <c:v>73.203000000000003</c:v>
                </c:pt>
                <c:pt idx="60">
                  <c:v>12.855</c:v>
                </c:pt>
                <c:pt idx="61">
                  <c:v>76.028999999999996</c:v>
                </c:pt>
                <c:pt idx="62">
                  <c:v>41.183999999999997</c:v>
                </c:pt>
                <c:pt idx="63">
                  <c:v>66.691999999999993</c:v>
                </c:pt>
                <c:pt idx="64">
                  <c:v>29.45</c:v>
                </c:pt>
                <c:pt idx="65">
                  <c:v>23.713000000000001</c:v>
                </c:pt>
                <c:pt idx="66">
                  <c:v>15.467000000000001</c:v>
                </c:pt>
                <c:pt idx="67">
                  <c:v>55.557000000000002</c:v>
                </c:pt>
                <c:pt idx="68">
                  <c:v>80.555999999999997</c:v>
                </c:pt>
                <c:pt idx="69">
                  <c:v>157.04</c:v>
                </c:pt>
                <c:pt idx="70">
                  <c:v>24.071999999999999</c:v>
                </c:pt>
                <c:pt idx="71">
                  <c:v>12.698</c:v>
                </c:pt>
                <c:pt idx="72">
                  <c:v>3.3340000000000001</c:v>
                </c:pt>
                <c:pt idx="73">
                  <c:v>6.375</c:v>
                </c:pt>
                <c:pt idx="74">
                  <c:v>9.1259999999999994</c:v>
                </c:pt>
                <c:pt idx="75">
                  <c:v>51.238</c:v>
                </c:pt>
                <c:pt idx="76">
                  <c:v>13.798</c:v>
                </c:pt>
                <c:pt idx="77">
                  <c:v>48.911000000000001</c:v>
                </c:pt>
                <c:pt idx="78">
                  <c:v>22.925000000000001</c:v>
                </c:pt>
                <c:pt idx="79">
                  <c:v>26.231999999999999</c:v>
                </c:pt>
                <c:pt idx="80">
                  <c:v>42.540999999999997</c:v>
                </c:pt>
                <c:pt idx="81">
                  <c:v>55.616</c:v>
                </c:pt>
                <c:pt idx="82">
                  <c:v>5.7110000000000003</c:v>
                </c:pt>
                <c:pt idx="83">
                  <c:v>0.11</c:v>
                </c:pt>
                <c:pt idx="84">
                  <c:v>11.337</c:v>
                </c:pt>
                <c:pt idx="85">
                  <c:v>39.347999999999999</c:v>
                </c:pt>
                <c:pt idx="86">
                  <c:v>14.351000000000001</c:v>
                </c:pt>
                <c:pt idx="87">
                  <c:v>26.529</c:v>
                </c:pt>
                <c:pt idx="88">
                  <c:v>67.956000000000003</c:v>
                </c:pt>
                <c:pt idx="89">
                  <c:v>81.174000000000007</c:v>
                </c:pt>
                <c:pt idx="90">
                  <c:v>27.609000000000002</c:v>
                </c:pt>
                <c:pt idx="91">
                  <c:v>20.38</c:v>
                </c:pt>
                <c:pt idx="92">
                  <c:v>18.391999999999999</c:v>
                </c:pt>
                <c:pt idx="93">
                  <c:v>27.602</c:v>
                </c:pt>
                <c:pt idx="94">
                  <c:v>16.774000000000001</c:v>
                </c:pt>
                <c:pt idx="95">
                  <c:v>3.3109999999999999</c:v>
                </c:pt>
                <c:pt idx="96">
                  <c:v>7.9980000000000002</c:v>
                </c:pt>
                <c:pt idx="97">
                  <c:v>1.526</c:v>
                </c:pt>
                <c:pt idx="98">
                  <c:v>11.592000000000001</c:v>
                </c:pt>
                <c:pt idx="99">
                  <c:v>0.95399999999999996</c:v>
                </c:pt>
                <c:pt idx="100">
                  <c:v>28.975999999999999</c:v>
                </c:pt>
                <c:pt idx="101">
                  <c:v>42.643000000000001</c:v>
                </c:pt>
                <c:pt idx="102">
                  <c:v>88.093999999999994</c:v>
                </c:pt>
                <c:pt idx="103">
                  <c:v>79.852999999999994</c:v>
                </c:pt>
                <c:pt idx="104">
                  <c:v>27.308</c:v>
                </c:pt>
                <c:pt idx="105">
                  <c:v>42.573999999999998</c:v>
                </c:pt>
                <c:pt idx="106">
                  <c:v>54.158000000000001</c:v>
                </c:pt>
                <c:pt idx="107">
                  <c:v>65.004999999999995</c:v>
                </c:pt>
                <c:pt idx="108">
                  <c:v>1.1120000000000001</c:v>
                </c:pt>
                <c:pt idx="109">
                  <c:v>38.554000000000002</c:v>
                </c:pt>
                <c:pt idx="110">
                  <c:v>80.254999999999995</c:v>
                </c:pt>
                <c:pt idx="111">
                  <c:v>14.69</c:v>
                </c:pt>
                <c:pt idx="112">
                  <c:v>20.016999999999999</c:v>
                </c:pt>
                <c:pt idx="113">
                  <c:v>24.361000000000001</c:v>
                </c:pt>
                <c:pt idx="114">
                  <c:v>32.734000000000002</c:v>
                </c:pt>
                <c:pt idx="115">
                  <c:v>5.24</c:v>
                </c:pt>
                <c:pt idx="116">
                  <c:v>24.155000000000001</c:v>
                </c:pt>
                <c:pt idx="117">
                  <c:v>1.8720000000000001</c:v>
                </c:pt>
                <c:pt idx="118">
                  <c:v>51.645000000000003</c:v>
                </c:pt>
                <c:pt idx="119">
                  <c:v>131.09700000000001</c:v>
                </c:pt>
                <c:pt idx="120">
                  <c:v>19.911000000000001</c:v>
                </c:pt>
                <c:pt idx="121">
                  <c:v>92.364000000000004</c:v>
                </c:pt>
                <c:pt idx="122">
                  <c:v>35.945</c:v>
                </c:pt>
                <c:pt idx="123">
                  <c:v>39.572000000000003</c:v>
                </c:pt>
                <c:pt idx="124">
                  <c:v>8.9819999999999993</c:v>
                </c:pt>
                <c:pt idx="125">
                  <c:v>1.28</c:v>
                </c:pt>
                <c:pt idx="126">
                  <c:v>1.8660000000000001</c:v>
                </c:pt>
                <c:pt idx="127">
                  <c:v>9.1910000000000007</c:v>
                </c:pt>
                <c:pt idx="128">
                  <c:v>12.115</c:v>
                </c:pt>
                <c:pt idx="129">
                  <c:v>80.62</c:v>
                </c:pt>
                <c:pt idx="130">
                  <c:v>24.545999999999999</c:v>
                </c:pt>
                <c:pt idx="131">
                  <c:v>5.2229999999999999</c:v>
                </c:pt>
                <c:pt idx="132">
                  <c:v>8.4719999999999995</c:v>
                </c:pt>
                <c:pt idx="133">
                  <c:v>49.988999999999997</c:v>
                </c:pt>
                <c:pt idx="134">
                  <c:v>47.106999999999999</c:v>
                </c:pt>
                <c:pt idx="135">
                  <c:v>33.027999999999999</c:v>
                </c:pt>
                <c:pt idx="136">
                  <c:v>142.535</c:v>
                </c:pt>
                <c:pt idx="137">
                  <c:v>247.994</c:v>
                </c:pt>
                <c:pt idx="138">
                  <c:v>63.848999999999997</c:v>
                </c:pt>
                <c:pt idx="139">
                  <c:v>33.268999999999998</c:v>
                </c:pt>
                <c:pt idx="140">
                  <c:v>84.087000000000003</c:v>
                </c:pt>
                <c:pt idx="141">
                  <c:v>65.119</c:v>
                </c:pt>
                <c:pt idx="142">
                  <c:v>25.106000000000002</c:v>
                </c:pt>
                <c:pt idx="143">
                  <c:v>68.411000000000001</c:v>
                </c:pt>
                <c:pt idx="144">
                  <c:v>9.8350000000000009</c:v>
                </c:pt>
                <c:pt idx="145">
                  <c:v>9.7609999999999992</c:v>
                </c:pt>
                <c:pt idx="146">
                  <c:v>83.721000000000004</c:v>
                </c:pt>
                <c:pt idx="147">
                  <c:v>51.101999999999997</c:v>
                </c:pt>
                <c:pt idx="148">
                  <c:v>9.5690000000000008</c:v>
                </c:pt>
                <c:pt idx="149">
                  <c:v>5.5960000000000001</c:v>
                </c:pt>
                <c:pt idx="150">
                  <c:v>49.463000000000001</c:v>
                </c:pt>
                <c:pt idx="151">
                  <c:v>16.957000000000001</c:v>
                </c:pt>
                <c:pt idx="152">
                  <c:v>3.5449999999999999</c:v>
                </c:pt>
                <c:pt idx="153">
                  <c:v>15.244999999999999</c:v>
                </c:pt>
                <c:pt idx="154">
                  <c:v>17.530999999999999</c:v>
                </c:pt>
                <c:pt idx="155">
                  <c:v>3.4929999999999999</c:v>
                </c:pt>
                <c:pt idx="156">
                  <c:v>18.969000000000001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AA-4C94-BAAD-9BA630EC8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68"/>
        <c:axId val="17155078"/>
      </c:scatterChart>
      <c:valAx>
        <c:axId val="64784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($000)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155078"/>
        <c:crosses val="autoZero"/>
        <c:crossBetween val="midCat"/>
      </c:valAx>
      <c:valAx>
        <c:axId val="17155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Units Sold (000s)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7846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621720</xdr:colOff>
      <xdr:row>39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15</xdr:col>
      <xdr:colOff>622080</xdr:colOff>
      <xdr:row>39</xdr:row>
      <xdr:rowOff>65520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11</xdr:row>
      <xdr:rowOff>0</xdr:rowOff>
    </xdr:from>
    <xdr:to>
      <xdr:col>27</xdr:col>
      <xdr:colOff>4680</xdr:colOff>
      <xdr:row>39</xdr:row>
      <xdr:rowOff>65520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7</xdr:col>
      <xdr:colOff>621720</xdr:colOff>
      <xdr:row>60</xdr:row>
      <xdr:rowOff>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15</xdr:col>
      <xdr:colOff>622080</xdr:colOff>
      <xdr:row>60</xdr:row>
      <xdr:rowOff>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43</xdr:row>
      <xdr:rowOff>0</xdr:rowOff>
    </xdr:from>
    <xdr:to>
      <xdr:col>27</xdr:col>
      <xdr:colOff>4680</xdr:colOff>
      <xdr:row>60</xdr:row>
      <xdr:rowOff>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27</xdr:col>
      <xdr:colOff>320040</xdr:colOff>
      <xdr:row>11</xdr:row>
      <xdr:rowOff>76200</xdr:rowOff>
    </xdr:from>
    <xdr:to>
      <xdr:col>37</xdr:col>
      <xdr:colOff>393120</xdr:colOff>
      <xdr:row>39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472440</xdr:colOff>
      <xdr:row>42</xdr:row>
      <xdr:rowOff>137160</xdr:rowOff>
    </xdr:from>
    <xdr:to>
      <xdr:col>37</xdr:col>
      <xdr:colOff>545880</xdr:colOff>
      <xdr:row>59</xdr:row>
      <xdr:rowOff>138600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DataTable" displayName="RawDataTable" ref="A1:P158" totalsRowShown="0">
  <autoFilter ref="A1:P158" xr:uid="{00000000-0009-0000-0100-000002000000}"/>
  <tableColumns count="16">
    <tableColumn id="1" xr3:uid="{00000000-0010-0000-0100-000001000000}" name="Manufacturer"/>
    <tableColumn id="2" xr3:uid="{00000000-0010-0000-0100-000002000000}" name="Model" dataDxfId="15"/>
    <tableColumn id="3" xr3:uid="{00000000-0010-0000-0100-000003000000}" name="Sales_in_thousands" dataDxfId="14"/>
    <tableColumn id="4" xr3:uid="{00000000-0010-0000-0100-000004000000}" name="__year_resale_value" dataDxfId="13"/>
    <tableColumn id="5" xr3:uid="{00000000-0010-0000-0100-000005000000}" name="Vehicle_type" dataDxfId="12"/>
    <tableColumn id="6" xr3:uid="{00000000-0010-0000-0100-000006000000}" name="Price_in_thousands" dataDxfId="11"/>
    <tableColumn id="7" xr3:uid="{00000000-0010-0000-0100-000007000000}" name="Engine_size" dataDxfId="10"/>
    <tableColumn id="8" xr3:uid="{00000000-0010-0000-0100-000008000000}" name="Horsepower" dataDxfId="9"/>
    <tableColumn id="9" xr3:uid="{00000000-0010-0000-0100-000009000000}" name="Wheelbase" dataDxfId="8"/>
    <tableColumn id="10" xr3:uid="{00000000-0010-0000-0100-00000A000000}" name="Width" dataDxfId="7"/>
    <tableColumn id="11" xr3:uid="{00000000-0010-0000-0100-00000B000000}" name="Length" dataDxfId="6"/>
    <tableColumn id="12" xr3:uid="{00000000-0010-0000-0100-00000C000000}" name="Curb_weight" dataDxfId="5"/>
    <tableColumn id="13" xr3:uid="{00000000-0010-0000-0100-00000D000000}" name="Fuel_capacity" dataDxfId="4"/>
    <tableColumn id="14" xr3:uid="{00000000-0010-0000-0100-00000E000000}" name="Fuel_efficiency" dataDxfId="3"/>
    <tableColumn id="15" xr3:uid="{00000000-0010-0000-0100-00000F000000}" name="Latest_Launch" dataDxfId="2"/>
    <tableColumn id="16" xr3:uid="{00000000-0010-0000-0100-000010000000}" name="Power_perf_factor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SalesTable" displayName="CarSalesTable" ref="A1:W158" totalsRowShown="0">
  <autoFilter ref="A1:W158" xr:uid="{00000000-0009-0000-0100-000001000000}"/>
  <tableColumns count="23">
    <tableColumn id="1" xr3:uid="{00000000-0010-0000-0000-000001000000}" name="Manufacturer"/>
    <tableColumn id="2" xr3:uid="{00000000-0010-0000-0000-000002000000}" name="Model"/>
    <tableColumn id="3" xr3:uid="{00000000-0010-0000-0000-000003000000}" name="Vehicle_Segment"/>
    <tableColumn id="4" xr3:uid="{00000000-0010-0000-0000-000004000000}" name="Sales_Units_Thousands"/>
    <tableColumn id="5" xr3:uid="{00000000-0010-0000-0000-000005000000}" name="Price_Thousands_USD"/>
    <tableColumn id="6" xr3:uid="{00000000-0010-0000-0000-000006000000}" name="Engine_Size_L"/>
    <tableColumn id="7" xr3:uid="{00000000-0010-0000-0000-000007000000}" name="Horsepower"/>
    <tableColumn id="8" xr3:uid="{00000000-0010-0000-0000-000008000000}" name="Wheelbase_in"/>
    <tableColumn id="9" xr3:uid="{00000000-0010-0000-0000-000009000000}" name="Width_in"/>
    <tableColumn id="10" xr3:uid="{00000000-0010-0000-0000-00000A000000}" name="Length_in"/>
    <tableColumn id="11" xr3:uid="{00000000-0010-0000-0000-00000B000000}" name="Curb_Weight_Tons"/>
    <tableColumn id="12" xr3:uid="{00000000-0010-0000-0000-00000C000000}" name="Fuel_Capacity_Gal"/>
    <tableColumn id="13" xr3:uid="{00000000-0010-0000-0000-00000D000000}" name="Fuel_Efficiency_MPG"/>
    <tableColumn id="14" xr3:uid="{00000000-0010-0000-0000-00000E000000}" name="Resale_Value_Thousands"/>
    <tableColumn id="15" xr3:uid="{00000000-0010-0000-0000-00000F000000}" name="Launch_Date"/>
    <tableColumn id="16" xr3:uid="{00000000-0010-0000-0000-000010000000}" name="Launch_Year"/>
    <tableColumn id="17" xr3:uid="{00000000-0010-0000-0000-000011000000}" name="Launch_Month"/>
    <tableColumn id="18" xr3:uid="{00000000-0010-0000-0000-000012000000}" name="Power_Perf_Factor"/>
    <tableColumn id="19" xr3:uid="{00000000-0010-0000-0000-000013000000}" name="Revenue_Millions_USD"/>
    <tableColumn id="20" xr3:uid="{00000000-0010-0000-0000-000014000000}" name="Price_Tier"/>
    <tableColumn id="21" xr3:uid="{00000000-0010-0000-0000-000015000000}" name="Data_Complete"/>
    <tableColumn id="22" xr3:uid="{00000000-0010-0000-0000-000016000000}" name="Sales_Rank"/>
    <tableColumn id="23" xr3:uid="{00000000-0010-0000-0000-000017000000}" name="Revenue_Rank"/>
  </tableColumns>
  <tableStyleInfo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8"/>
  <sheetViews>
    <sheetView showGridLines="0" topLeftCell="B1" zoomScaleNormal="100" workbookViewId="0">
      <pane ySplit="1" topLeftCell="A2" activePane="bottomLeft" state="frozen"/>
      <selection pane="bottomLeft" activeCell="O10" sqref="O10"/>
    </sheetView>
  </sheetViews>
  <sheetFormatPr defaultColWidth="8.6640625" defaultRowHeight="14.4" x14ac:dyDescent="0.3"/>
  <cols>
    <col min="1" max="1" width="12" customWidth="1"/>
    <col min="2" max="2" width="16" customWidth="1"/>
    <col min="3" max="3" width="20.33203125" bestFit="1" customWidth="1"/>
    <col min="4" max="4" width="21.6640625" bestFit="1" customWidth="1"/>
    <col min="5" max="5" width="13" customWidth="1"/>
    <col min="6" max="6" width="17" customWidth="1"/>
    <col min="7" max="7" width="11" customWidth="1"/>
    <col min="8" max="9" width="10" customWidth="1"/>
    <col min="10" max="11" width="8" customWidth="1"/>
    <col min="12" max="12" width="11" customWidth="1"/>
    <col min="13" max="13" width="12" customWidth="1"/>
    <col min="14" max="14" width="14" customWidth="1"/>
    <col min="15" max="15" width="9.109375" bestFit="1" customWidth="1"/>
    <col min="16" max="16" width="16" customWidth="1"/>
  </cols>
  <sheetData>
    <row r="1" spans="1:17" ht="28.8" thickTop="1" thickBot="1" x14ac:dyDescent="0.35">
      <c r="A1" s="20" t="s">
        <v>66</v>
      </c>
      <c r="B1" s="22" t="s">
        <v>65</v>
      </c>
      <c r="C1" s="23" t="s">
        <v>252</v>
      </c>
      <c r="D1" s="24" t="s">
        <v>253</v>
      </c>
      <c r="E1" s="22" t="s">
        <v>254</v>
      </c>
      <c r="F1" s="23" t="s">
        <v>255</v>
      </c>
      <c r="G1" s="22" t="s">
        <v>256</v>
      </c>
      <c r="H1" s="25" t="s">
        <v>72</v>
      </c>
      <c r="I1" s="25" t="s">
        <v>257</v>
      </c>
      <c r="J1" s="25" t="s">
        <v>258</v>
      </c>
      <c r="K1" s="25" t="s">
        <v>259</v>
      </c>
      <c r="L1" s="25" t="s">
        <v>260</v>
      </c>
      <c r="M1" s="25" t="s">
        <v>261</v>
      </c>
      <c r="N1" s="25" t="s">
        <v>262</v>
      </c>
      <c r="O1" s="25" t="s">
        <v>263</v>
      </c>
      <c r="P1" s="23" t="s">
        <v>264</v>
      </c>
      <c r="Q1" s="26"/>
    </row>
    <row r="2" spans="1:17" ht="15" thickTop="1" x14ac:dyDescent="0.3">
      <c r="A2" s="17" t="s">
        <v>22</v>
      </c>
      <c r="B2" s="21" t="s">
        <v>89</v>
      </c>
      <c r="C2" s="21">
        <v>16.919</v>
      </c>
      <c r="D2" s="19">
        <v>16.36</v>
      </c>
      <c r="E2" s="21" t="s">
        <v>265</v>
      </c>
      <c r="F2" s="21">
        <v>21.5</v>
      </c>
      <c r="G2" s="21">
        <v>1.8</v>
      </c>
      <c r="H2" s="21">
        <v>140</v>
      </c>
      <c r="I2" s="21">
        <v>101.2</v>
      </c>
      <c r="J2" s="21">
        <v>67.3</v>
      </c>
      <c r="K2" s="21">
        <v>172.4</v>
      </c>
      <c r="L2" s="21">
        <v>2.6389999999999998</v>
      </c>
      <c r="M2" s="21">
        <v>13.2</v>
      </c>
      <c r="N2" s="21">
        <v>28</v>
      </c>
      <c r="O2" s="21" t="s">
        <v>266</v>
      </c>
      <c r="P2" s="21">
        <v>58.280149520000002</v>
      </c>
    </row>
    <row r="3" spans="1:17" x14ac:dyDescent="0.3">
      <c r="A3" s="17" t="s">
        <v>22</v>
      </c>
      <c r="B3" s="19" t="s">
        <v>90</v>
      </c>
      <c r="C3" s="19">
        <v>39.384</v>
      </c>
      <c r="D3" s="19">
        <v>19.875</v>
      </c>
      <c r="E3" s="19" t="s">
        <v>265</v>
      </c>
      <c r="F3" s="19">
        <v>28.4</v>
      </c>
      <c r="G3" s="19">
        <v>3.2</v>
      </c>
      <c r="H3" s="19">
        <v>225</v>
      </c>
      <c r="I3" s="19">
        <v>108.1</v>
      </c>
      <c r="J3" s="19">
        <v>70.3</v>
      </c>
      <c r="K3" s="19">
        <v>192.9</v>
      </c>
      <c r="L3" s="19">
        <v>3.5169999999999999</v>
      </c>
      <c r="M3" s="19">
        <v>17.2</v>
      </c>
      <c r="N3" s="19">
        <v>25</v>
      </c>
      <c r="O3" s="19" t="s">
        <v>267</v>
      </c>
      <c r="P3" s="19">
        <v>91.370777660000002</v>
      </c>
    </row>
    <row r="4" spans="1:17" x14ac:dyDescent="0.3">
      <c r="A4" s="17" t="s">
        <v>22</v>
      </c>
      <c r="B4" s="19" t="s">
        <v>91</v>
      </c>
      <c r="C4" s="19">
        <v>14.114000000000001</v>
      </c>
      <c r="D4" s="19">
        <v>18.225000000000001</v>
      </c>
      <c r="E4" s="19" t="s">
        <v>265</v>
      </c>
      <c r="F4" s="19"/>
      <c r="G4" s="19">
        <v>3.2</v>
      </c>
      <c r="H4" s="19">
        <v>225</v>
      </c>
      <c r="I4" s="19">
        <v>106.9</v>
      </c>
      <c r="J4" s="19">
        <v>70.599999999999994</v>
      </c>
      <c r="K4" s="19">
        <v>192</v>
      </c>
      <c r="L4" s="19">
        <v>3.47</v>
      </c>
      <c r="M4" s="19">
        <v>17.2</v>
      </c>
      <c r="N4" s="19">
        <v>26</v>
      </c>
      <c r="O4" s="19" t="s">
        <v>268</v>
      </c>
      <c r="P4" s="19"/>
    </row>
    <row r="5" spans="1:17" x14ac:dyDescent="0.3">
      <c r="A5" s="17" t="s">
        <v>22</v>
      </c>
      <c r="B5" s="19" t="s">
        <v>92</v>
      </c>
      <c r="C5" s="19">
        <v>8.5879999999999992</v>
      </c>
      <c r="D5" s="19">
        <v>29.725000000000001</v>
      </c>
      <c r="E5" s="19" t="s">
        <v>265</v>
      </c>
      <c r="F5" s="19">
        <v>42</v>
      </c>
      <c r="G5" s="19">
        <v>3.5</v>
      </c>
      <c r="H5" s="19">
        <v>210</v>
      </c>
      <c r="I5" s="19">
        <v>114.6</v>
      </c>
      <c r="J5" s="19">
        <v>71.400000000000006</v>
      </c>
      <c r="K5" s="19">
        <v>196.6</v>
      </c>
      <c r="L5" s="19">
        <v>3.85</v>
      </c>
      <c r="M5" s="19">
        <v>18</v>
      </c>
      <c r="N5" s="19">
        <v>22</v>
      </c>
      <c r="O5" s="19" t="s">
        <v>269</v>
      </c>
      <c r="P5" s="19">
        <v>91.389779329999996</v>
      </c>
    </row>
    <row r="6" spans="1:17" x14ac:dyDescent="0.3">
      <c r="A6" s="17" t="s">
        <v>23</v>
      </c>
      <c r="B6" s="19" t="s">
        <v>93</v>
      </c>
      <c r="C6" s="19">
        <v>20.396999999999998</v>
      </c>
      <c r="D6" s="19">
        <v>22.254999999999999</v>
      </c>
      <c r="E6" s="19" t="s">
        <v>265</v>
      </c>
      <c r="F6" s="19">
        <v>23.99</v>
      </c>
      <c r="G6" s="19">
        <v>1.8</v>
      </c>
      <c r="H6" s="19">
        <v>150</v>
      </c>
      <c r="I6" s="19">
        <v>102.6</v>
      </c>
      <c r="J6" s="19">
        <v>68.2</v>
      </c>
      <c r="K6" s="19">
        <v>178</v>
      </c>
      <c r="L6" s="19">
        <v>2.9980000000000002</v>
      </c>
      <c r="M6" s="19">
        <v>16.399999999999999</v>
      </c>
      <c r="N6" s="19">
        <v>27</v>
      </c>
      <c r="O6" s="19" t="s">
        <v>270</v>
      </c>
      <c r="P6" s="19">
        <v>62.777639200000003</v>
      </c>
    </row>
    <row r="7" spans="1:17" x14ac:dyDescent="0.3">
      <c r="A7" s="17" t="s">
        <v>23</v>
      </c>
      <c r="B7" s="19" t="s">
        <v>94</v>
      </c>
      <c r="C7" s="19">
        <v>18.78</v>
      </c>
      <c r="D7" s="19">
        <v>23.555</v>
      </c>
      <c r="E7" s="19" t="s">
        <v>265</v>
      </c>
      <c r="F7" s="19">
        <v>33.950000000000003</v>
      </c>
      <c r="G7" s="19">
        <v>2.8</v>
      </c>
      <c r="H7" s="19">
        <v>200</v>
      </c>
      <c r="I7" s="19">
        <v>108.7</v>
      </c>
      <c r="J7" s="19">
        <v>76.099999999999994</v>
      </c>
      <c r="K7" s="19">
        <v>192</v>
      </c>
      <c r="L7" s="19">
        <v>3.5609999999999999</v>
      </c>
      <c r="M7" s="19">
        <v>18.5</v>
      </c>
      <c r="N7" s="19">
        <v>22</v>
      </c>
      <c r="O7" s="19" t="s">
        <v>271</v>
      </c>
      <c r="P7" s="19">
        <v>84.565105020000004</v>
      </c>
    </row>
    <row r="8" spans="1:17" x14ac:dyDescent="0.3">
      <c r="A8" s="17" t="s">
        <v>23</v>
      </c>
      <c r="B8" s="19" t="s">
        <v>95</v>
      </c>
      <c r="C8" s="19">
        <v>1.38</v>
      </c>
      <c r="D8" s="19">
        <v>39</v>
      </c>
      <c r="E8" s="19" t="s">
        <v>265</v>
      </c>
      <c r="F8" s="19">
        <v>62</v>
      </c>
      <c r="G8" s="19">
        <v>4.2</v>
      </c>
      <c r="H8" s="19">
        <v>310</v>
      </c>
      <c r="I8" s="19">
        <v>113</v>
      </c>
      <c r="J8" s="19">
        <v>74</v>
      </c>
      <c r="K8" s="19">
        <v>198.2</v>
      </c>
      <c r="L8" s="19">
        <v>3.9020000000000001</v>
      </c>
      <c r="M8" s="19">
        <v>23.7</v>
      </c>
      <c r="N8" s="19">
        <v>21</v>
      </c>
      <c r="O8" s="19" t="s">
        <v>272</v>
      </c>
      <c r="P8" s="19">
        <v>134.65685819999999</v>
      </c>
    </row>
    <row r="9" spans="1:17" x14ac:dyDescent="0.3">
      <c r="A9" s="17" t="s">
        <v>24</v>
      </c>
      <c r="B9" s="19" t="s">
        <v>96</v>
      </c>
      <c r="C9" s="19">
        <v>19.747</v>
      </c>
      <c r="D9" s="19"/>
      <c r="E9" s="19" t="s">
        <v>265</v>
      </c>
      <c r="F9" s="19">
        <v>26.99</v>
      </c>
      <c r="G9" s="19">
        <v>2.5</v>
      </c>
      <c r="H9" s="19">
        <v>170</v>
      </c>
      <c r="I9" s="19">
        <v>107.3</v>
      </c>
      <c r="J9" s="19">
        <v>68.400000000000006</v>
      </c>
      <c r="K9" s="19">
        <v>176</v>
      </c>
      <c r="L9" s="19">
        <v>3.1789999999999998</v>
      </c>
      <c r="M9" s="19">
        <v>16.600000000000001</v>
      </c>
      <c r="N9" s="19">
        <v>26</v>
      </c>
      <c r="O9" s="19" t="s">
        <v>273</v>
      </c>
      <c r="P9" s="19">
        <v>71.191206710000003</v>
      </c>
    </row>
    <row r="10" spans="1:17" x14ac:dyDescent="0.3">
      <c r="A10" s="17" t="s">
        <v>24</v>
      </c>
      <c r="B10" s="19" t="s">
        <v>97</v>
      </c>
      <c r="C10" s="19">
        <v>9.2309999999999999</v>
      </c>
      <c r="D10" s="19">
        <v>28.675000000000001</v>
      </c>
      <c r="E10" s="19" t="s">
        <v>265</v>
      </c>
      <c r="F10" s="19">
        <v>33.4</v>
      </c>
      <c r="G10" s="19">
        <v>2.8</v>
      </c>
      <c r="H10" s="19">
        <v>193</v>
      </c>
      <c r="I10" s="19">
        <v>107.3</v>
      </c>
      <c r="J10" s="19">
        <v>68.5</v>
      </c>
      <c r="K10" s="19">
        <v>176</v>
      </c>
      <c r="L10" s="19">
        <v>3.1970000000000001</v>
      </c>
      <c r="M10" s="19">
        <v>16.600000000000001</v>
      </c>
      <c r="N10" s="19">
        <v>24</v>
      </c>
      <c r="O10" s="19" t="s">
        <v>274</v>
      </c>
      <c r="P10" s="19">
        <v>81.877068559999998</v>
      </c>
    </row>
    <row r="11" spans="1:17" x14ac:dyDescent="0.3">
      <c r="A11" s="17" t="s">
        <v>24</v>
      </c>
      <c r="B11" s="19" t="s">
        <v>98</v>
      </c>
      <c r="C11" s="19">
        <v>17.527000000000001</v>
      </c>
      <c r="D11" s="19">
        <v>36.125</v>
      </c>
      <c r="E11" s="19" t="s">
        <v>265</v>
      </c>
      <c r="F11" s="19">
        <v>38.9</v>
      </c>
      <c r="G11" s="19">
        <v>2.8</v>
      </c>
      <c r="H11" s="19">
        <v>193</v>
      </c>
      <c r="I11" s="19">
        <v>111.4</v>
      </c>
      <c r="J11" s="19">
        <v>70.900000000000006</v>
      </c>
      <c r="K11" s="19">
        <v>188</v>
      </c>
      <c r="L11" s="19">
        <v>3.472</v>
      </c>
      <c r="M11" s="19">
        <v>18.5</v>
      </c>
      <c r="N11" s="19">
        <v>25</v>
      </c>
      <c r="O11" s="19" t="s">
        <v>275</v>
      </c>
      <c r="P11" s="19">
        <v>83.998723799999993</v>
      </c>
    </row>
    <row r="12" spans="1:17" x14ac:dyDescent="0.3">
      <c r="A12" s="17" t="s">
        <v>25</v>
      </c>
      <c r="B12" s="19" t="s">
        <v>99</v>
      </c>
      <c r="C12" s="19">
        <v>91.561000000000007</v>
      </c>
      <c r="D12" s="19">
        <v>12.475</v>
      </c>
      <c r="E12" s="19" t="s">
        <v>265</v>
      </c>
      <c r="F12" s="19">
        <v>21.975000000000001</v>
      </c>
      <c r="G12" s="19">
        <v>3.1</v>
      </c>
      <c r="H12" s="19">
        <v>175</v>
      </c>
      <c r="I12" s="19">
        <v>109</v>
      </c>
      <c r="J12" s="19">
        <v>72.7</v>
      </c>
      <c r="K12" s="19">
        <v>194.6</v>
      </c>
      <c r="L12" s="19">
        <v>3.3679999999999999</v>
      </c>
      <c r="M12" s="19">
        <v>17.5</v>
      </c>
      <c r="N12" s="19">
        <v>25</v>
      </c>
      <c r="O12" s="19" t="s">
        <v>276</v>
      </c>
      <c r="P12" s="19">
        <v>71.181451319999994</v>
      </c>
    </row>
    <row r="13" spans="1:17" x14ac:dyDescent="0.3">
      <c r="A13" s="17" t="s">
        <v>25</v>
      </c>
      <c r="B13" s="19" t="s">
        <v>100</v>
      </c>
      <c r="C13" s="19">
        <v>39.35</v>
      </c>
      <c r="D13" s="19">
        <v>13.74</v>
      </c>
      <c r="E13" s="19" t="s">
        <v>265</v>
      </c>
      <c r="F13" s="19">
        <v>25.3</v>
      </c>
      <c r="G13" s="19">
        <v>3.8</v>
      </c>
      <c r="H13" s="19">
        <v>240</v>
      </c>
      <c r="I13" s="19">
        <v>109</v>
      </c>
      <c r="J13" s="19">
        <v>72.7</v>
      </c>
      <c r="K13" s="19">
        <v>196.2</v>
      </c>
      <c r="L13" s="19">
        <v>3.5430000000000001</v>
      </c>
      <c r="M13" s="19">
        <v>17.5</v>
      </c>
      <c r="N13" s="19">
        <v>23</v>
      </c>
      <c r="O13" s="19" t="s">
        <v>277</v>
      </c>
      <c r="P13" s="19">
        <v>95.636702529999994</v>
      </c>
    </row>
    <row r="14" spans="1:17" x14ac:dyDescent="0.3">
      <c r="A14" s="17" t="s">
        <v>25</v>
      </c>
      <c r="B14" s="19" t="s">
        <v>101</v>
      </c>
      <c r="C14" s="19">
        <v>27.850999999999999</v>
      </c>
      <c r="D14" s="19">
        <v>20.190000000000001</v>
      </c>
      <c r="E14" s="19" t="s">
        <v>265</v>
      </c>
      <c r="F14" s="19">
        <v>31.965</v>
      </c>
      <c r="G14" s="19">
        <v>3.8</v>
      </c>
      <c r="H14" s="19">
        <v>205</v>
      </c>
      <c r="I14" s="19">
        <v>113.8</v>
      </c>
      <c r="J14" s="19">
        <v>74.7</v>
      </c>
      <c r="K14" s="19">
        <v>206.8</v>
      </c>
      <c r="L14" s="19">
        <v>3.778</v>
      </c>
      <c r="M14" s="19">
        <v>18.5</v>
      </c>
      <c r="N14" s="19">
        <v>24</v>
      </c>
      <c r="O14" s="19" t="s">
        <v>278</v>
      </c>
      <c r="P14" s="19">
        <v>85.828408249999995</v>
      </c>
    </row>
    <row r="15" spans="1:17" x14ac:dyDescent="0.3">
      <c r="A15" s="17" t="s">
        <v>25</v>
      </c>
      <c r="B15" s="19" t="s">
        <v>102</v>
      </c>
      <c r="C15" s="19">
        <v>83.257000000000005</v>
      </c>
      <c r="D15" s="19">
        <v>13.36</v>
      </c>
      <c r="E15" s="19" t="s">
        <v>265</v>
      </c>
      <c r="F15" s="19">
        <v>27.885000000000002</v>
      </c>
      <c r="G15" s="19">
        <v>3.8</v>
      </c>
      <c r="H15" s="19">
        <v>205</v>
      </c>
      <c r="I15" s="19">
        <v>112.2</v>
      </c>
      <c r="J15" s="19">
        <v>73.5</v>
      </c>
      <c r="K15" s="19">
        <v>200</v>
      </c>
      <c r="L15" s="19">
        <v>3.5910000000000002</v>
      </c>
      <c r="M15" s="19">
        <v>17.5</v>
      </c>
      <c r="N15" s="19">
        <v>25</v>
      </c>
      <c r="O15" s="19" t="s">
        <v>279</v>
      </c>
      <c r="P15" s="19">
        <v>84.254525810000004</v>
      </c>
    </row>
    <row r="16" spans="1:17" x14ac:dyDescent="0.3">
      <c r="A16" s="17" t="s">
        <v>26</v>
      </c>
      <c r="B16" s="19" t="s">
        <v>103</v>
      </c>
      <c r="C16" s="19">
        <v>63.728999999999999</v>
      </c>
      <c r="D16" s="19">
        <v>22.524999999999999</v>
      </c>
      <c r="E16" s="19" t="s">
        <v>265</v>
      </c>
      <c r="F16" s="19">
        <v>39.895000000000003</v>
      </c>
      <c r="G16" s="19">
        <v>4.5999999999999996</v>
      </c>
      <c r="H16" s="19">
        <v>275</v>
      </c>
      <c r="I16" s="19">
        <v>115.3</v>
      </c>
      <c r="J16" s="19">
        <v>74.5</v>
      </c>
      <c r="K16" s="19">
        <v>207.2</v>
      </c>
      <c r="L16" s="19">
        <v>3.9780000000000002</v>
      </c>
      <c r="M16" s="19">
        <v>18.5</v>
      </c>
      <c r="N16" s="19">
        <v>22</v>
      </c>
      <c r="O16" s="19" t="s">
        <v>280</v>
      </c>
      <c r="P16" s="19">
        <v>113.85459760000001</v>
      </c>
    </row>
    <row r="17" spans="1:16" x14ac:dyDescent="0.3">
      <c r="A17" s="17" t="s">
        <v>26</v>
      </c>
      <c r="B17" s="19" t="s">
        <v>104</v>
      </c>
      <c r="C17" s="19">
        <v>15.943</v>
      </c>
      <c r="D17" s="19">
        <v>27.1</v>
      </c>
      <c r="E17" s="19" t="s">
        <v>265</v>
      </c>
      <c r="F17" s="19">
        <v>44.475000000000001</v>
      </c>
      <c r="G17" s="19">
        <v>4.5999999999999996</v>
      </c>
      <c r="H17" s="19">
        <v>275</v>
      </c>
      <c r="I17" s="19">
        <v>112.2</v>
      </c>
      <c r="J17" s="19">
        <v>75</v>
      </c>
      <c r="K17" s="19">
        <v>201</v>
      </c>
      <c r="L17" s="19"/>
      <c r="M17" s="19">
        <v>18.5</v>
      </c>
      <c r="N17" s="19">
        <v>22</v>
      </c>
      <c r="O17" s="19" t="s">
        <v>281</v>
      </c>
      <c r="P17" s="19">
        <v>115.6213578</v>
      </c>
    </row>
    <row r="18" spans="1:16" x14ac:dyDescent="0.3">
      <c r="A18" s="17" t="s">
        <v>26</v>
      </c>
      <c r="B18" s="19" t="s">
        <v>105</v>
      </c>
      <c r="C18" s="19">
        <v>6.5359999999999996</v>
      </c>
      <c r="D18" s="19">
        <v>25.725000000000001</v>
      </c>
      <c r="E18" s="19" t="s">
        <v>265</v>
      </c>
      <c r="F18" s="19">
        <v>39.664999999999999</v>
      </c>
      <c r="G18" s="19">
        <v>4.5999999999999996</v>
      </c>
      <c r="H18" s="19">
        <v>275</v>
      </c>
      <c r="I18" s="19">
        <v>108</v>
      </c>
      <c r="J18" s="19">
        <v>75.5</v>
      </c>
      <c r="K18" s="19">
        <v>200.6</v>
      </c>
      <c r="L18" s="19">
        <v>3.843</v>
      </c>
      <c r="M18" s="19">
        <v>19</v>
      </c>
      <c r="N18" s="19">
        <v>22</v>
      </c>
      <c r="O18" s="19" t="s">
        <v>282</v>
      </c>
      <c r="P18" s="19">
        <v>113.7658739</v>
      </c>
    </row>
    <row r="19" spans="1:16" x14ac:dyDescent="0.3">
      <c r="A19" s="17" t="s">
        <v>26</v>
      </c>
      <c r="B19" s="19" t="s">
        <v>106</v>
      </c>
      <c r="C19" s="19">
        <v>11.185</v>
      </c>
      <c r="D19" s="19">
        <v>18.225000000000001</v>
      </c>
      <c r="E19" s="19" t="s">
        <v>265</v>
      </c>
      <c r="F19" s="19">
        <v>31.01</v>
      </c>
      <c r="G19" s="19">
        <v>3</v>
      </c>
      <c r="H19" s="19">
        <v>200</v>
      </c>
      <c r="I19" s="19">
        <v>107.4</v>
      </c>
      <c r="J19" s="19">
        <v>70.3</v>
      </c>
      <c r="K19" s="19">
        <v>194.8</v>
      </c>
      <c r="L19" s="19">
        <v>3.77</v>
      </c>
      <c r="M19" s="19">
        <v>18</v>
      </c>
      <c r="N19" s="19">
        <v>22</v>
      </c>
      <c r="O19" s="19" t="s">
        <v>283</v>
      </c>
      <c r="P19" s="19">
        <v>83.483093580000002</v>
      </c>
    </row>
    <row r="20" spans="1:16" x14ac:dyDescent="0.3">
      <c r="A20" s="17" t="s">
        <v>26</v>
      </c>
      <c r="B20" s="19" t="s">
        <v>107</v>
      </c>
      <c r="C20" s="19">
        <v>14.785</v>
      </c>
      <c r="D20" s="19"/>
      <c r="E20" s="19" t="s">
        <v>284</v>
      </c>
      <c r="F20" s="19">
        <v>46.225000000000001</v>
      </c>
      <c r="G20" s="19">
        <v>5.7</v>
      </c>
      <c r="H20" s="19">
        <v>255</v>
      </c>
      <c r="I20" s="19">
        <v>117.5</v>
      </c>
      <c r="J20" s="19">
        <v>77</v>
      </c>
      <c r="K20" s="19">
        <v>201.2</v>
      </c>
      <c r="L20" s="19">
        <v>5.5720000000000001</v>
      </c>
      <c r="M20" s="19">
        <v>30</v>
      </c>
      <c r="N20" s="19">
        <v>15</v>
      </c>
      <c r="O20" s="19" t="s">
        <v>285</v>
      </c>
      <c r="P20" s="19">
        <v>109.5091165</v>
      </c>
    </row>
    <row r="21" spans="1:16" x14ac:dyDescent="0.3">
      <c r="A21" s="17" t="s">
        <v>27</v>
      </c>
      <c r="B21" s="19" t="s">
        <v>108</v>
      </c>
      <c r="C21" s="19">
        <v>145.51900000000001</v>
      </c>
      <c r="D21" s="19">
        <v>9.25</v>
      </c>
      <c r="E21" s="19" t="s">
        <v>265</v>
      </c>
      <c r="F21" s="19">
        <v>13.26</v>
      </c>
      <c r="G21" s="19">
        <v>2.2000000000000002</v>
      </c>
      <c r="H21" s="19">
        <v>115</v>
      </c>
      <c r="I21" s="19">
        <v>104.1</v>
      </c>
      <c r="J21" s="19">
        <v>67.900000000000006</v>
      </c>
      <c r="K21" s="19">
        <v>180.9</v>
      </c>
      <c r="L21" s="19">
        <v>2.6760000000000002</v>
      </c>
      <c r="M21" s="19">
        <v>14.3</v>
      </c>
      <c r="N21" s="19">
        <v>27</v>
      </c>
      <c r="O21" s="19" t="s">
        <v>286</v>
      </c>
      <c r="P21" s="19">
        <v>46.363347470000001</v>
      </c>
    </row>
    <row r="22" spans="1:16" x14ac:dyDescent="0.3">
      <c r="A22" s="17" t="s">
        <v>27</v>
      </c>
      <c r="B22" s="19" t="s">
        <v>109</v>
      </c>
      <c r="C22" s="19">
        <v>135.126</v>
      </c>
      <c r="D22" s="19">
        <v>11.225</v>
      </c>
      <c r="E22" s="19" t="s">
        <v>265</v>
      </c>
      <c r="F22" s="19">
        <v>16.535</v>
      </c>
      <c r="G22" s="19">
        <v>3.1</v>
      </c>
      <c r="H22" s="19">
        <v>170</v>
      </c>
      <c r="I22" s="19">
        <v>107</v>
      </c>
      <c r="J22" s="19">
        <v>69.400000000000006</v>
      </c>
      <c r="K22" s="19">
        <v>190.4</v>
      </c>
      <c r="L22" s="19">
        <v>3.0510000000000002</v>
      </c>
      <c r="M22" s="19">
        <v>15</v>
      </c>
      <c r="N22" s="19">
        <v>25</v>
      </c>
      <c r="O22" s="19" t="s">
        <v>287</v>
      </c>
      <c r="P22" s="19">
        <v>67.314462160000005</v>
      </c>
    </row>
    <row r="23" spans="1:16" x14ac:dyDescent="0.3">
      <c r="A23" s="17" t="s">
        <v>27</v>
      </c>
      <c r="B23" s="19" t="s">
        <v>110</v>
      </c>
      <c r="C23" s="19">
        <v>24.629000000000001</v>
      </c>
      <c r="D23" s="19">
        <v>10.31</v>
      </c>
      <c r="E23" s="19" t="s">
        <v>265</v>
      </c>
      <c r="F23" s="19">
        <v>18.89</v>
      </c>
      <c r="G23" s="19">
        <v>3.1</v>
      </c>
      <c r="H23" s="19">
        <v>175</v>
      </c>
      <c r="I23" s="19">
        <v>107.5</v>
      </c>
      <c r="J23" s="19">
        <v>72.5</v>
      </c>
      <c r="K23" s="19">
        <v>200.9</v>
      </c>
      <c r="L23" s="19">
        <v>3.33</v>
      </c>
      <c r="M23" s="19">
        <v>16.600000000000001</v>
      </c>
      <c r="N23" s="19">
        <v>25</v>
      </c>
      <c r="O23" s="19" t="s">
        <v>288</v>
      </c>
      <c r="P23" s="19">
        <v>69.991395600000004</v>
      </c>
    </row>
    <row r="24" spans="1:16" x14ac:dyDescent="0.3">
      <c r="A24" s="17" t="s">
        <v>27</v>
      </c>
      <c r="B24" s="19" t="s">
        <v>111</v>
      </c>
      <c r="C24" s="19">
        <v>42.593000000000004</v>
      </c>
      <c r="D24" s="19">
        <v>11.525</v>
      </c>
      <c r="E24" s="19" t="s">
        <v>265</v>
      </c>
      <c r="F24" s="19">
        <v>19.39</v>
      </c>
      <c r="G24" s="19">
        <v>3.4</v>
      </c>
      <c r="H24" s="19">
        <v>180</v>
      </c>
      <c r="I24" s="19">
        <v>110.5</v>
      </c>
      <c r="J24" s="19">
        <v>72.7</v>
      </c>
      <c r="K24" s="19">
        <v>197.9</v>
      </c>
      <c r="L24" s="19">
        <v>3.34</v>
      </c>
      <c r="M24" s="19">
        <v>17</v>
      </c>
      <c r="N24" s="19">
        <v>27</v>
      </c>
      <c r="O24" s="19" t="s">
        <v>289</v>
      </c>
      <c r="P24" s="19">
        <v>72.030917189999997</v>
      </c>
    </row>
    <row r="25" spans="1:16" x14ac:dyDescent="0.3">
      <c r="A25" s="17" t="s">
        <v>27</v>
      </c>
      <c r="B25" s="19" t="s">
        <v>112</v>
      </c>
      <c r="C25" s="19">
        <v>26.402000000000001</v>
      </c>
      <c r="D25" s="19">
        <v>13.025</v>
      </c>
      <c r="E25" s="19" t="s">
        <v>265</v>
      </c>
      <c r="F25" s="19">
        <v>24.34</v>
      </c>
      <c r="G25" s="19">
        <v>3.8</v>
      </c>
      <c r="H25" s="19">
        <v>200</v>
      </c>
      <c r="I25" s="19">
        <v>101.1</v>
      </c>
      <c r="J25" s="19">
        <v>74.099999999999994</v>
      </c>
      <c r="K25" s="19">
        <v>193.2</v>
      </c>
      <c r="L25" s="19">
        <v>3.5</v>
      </c>
      <c r="M25" s="19">
        <v>16.8</v>
      </c>
      <c r="N25" s="19">
        <v>25</v>
      </c>
      <c r="O25" s="19" t="s">
        <v>290</v>
      </c>
      <c r="P25" s="19">
        <v>81.118543329999994</v>
      </c>
    </row>
    <row r="26" spans="1:16" x14ac:dyDescent="0.3">
      <c r="A26" s="17" t="s">
        <v>27</v>
      </c>
      <c r="B26" s="19" t="s">
        <v>113</v>
      </c>
      <c r="C26" s="19">
        <v>17.946999999999999</v>
      </c>
      <c r="D26" s="19">
        <v>36.225000000000001</v>
      </c>
      <c r="E26" s="19" t="s">
        <v>265</v>
      </c>
      <c r="F26" s="19">
        <v>45.704999999999998</v>
      </c>
      <c r="G26" s="19">
        <v>5.7</v>
      </c>
      <c r="H26" s="19">
        <v>345</v>
      </c>
      <c r="I26" s="19">
        <v>104.5</v>
      </c>
      <c r="J26" s="19">
        <v>73.599999999999994</v>
      </c>
      <c r="K26" s="19">
        <v>179.7</v>
      </c>
      <c r="L26" s="19">
        <v>3.21</v>
      </c>
      <c r="M26" s="19">
        <v>19.100000000000001</v>
      </c>
      <c r="N26" s="19">
        <v>22</v>
      </c>
      <c r="O26" s="19" t="s">
        <v>291</v>
      </c>
      <c r="P26" s="19">
        <v>141.14115000000001</v>
      </c>
    </row>
    <row r="27" spans="1:16" x14ac:dyDescent="0.3">
      <c r="A27" s="17" t="s">
        <v>27</v>
      </c>
      <c r="B27" s="19" t="s">
        <v>114</v>
      </c>
      <c r="C27" s="19">
        <v>32.298999999999999</v>
      </c>
      <c r="D27" s="19">
        <v>9.125</v>
      </c>
      <c r="E27" s="19" t="s">
        <v>265</v>
      </c>
      <c r="F27" s="19">
        <v>13.96</v>
      </c>
      <c r="G27" s="19">
        <v>1.8</v>
      </c>
      <c r="H27" s="19">
        <v>120</v>
      </c>
      <c r="I27" s="19">
        <v>97.1</v>
      </c>
      <c r="J27" s="19">
        <v>66.7</v>
      </c>
      <c r="K27" s="19">
        <v>174.3</v>
      </c>
      <c r="L27" s="19">
        <v>2.3980000000000001</v>
      </c>
      <c r="M27" s="19">
        <v>13.2</v>
      </c>
      <c r="N27" s="19">
        <v>33</v>
      </c>
      <c r="O27" s="19" t="s">
        <v>292</v>
      </c>
      <c r="P27" s="19">
        <v>48.297636099999998</v>
      </c>
    </row>
    <row r="28" spans="1:16" x14ac:dyDescent="0.3">
      <c r="A28" s="17" t="s">
        <v>27</v>
      </c>
      <c r="B28" s="19" t="s">
        <v>115</v>
      </c>
      <c r="C28" s="19">
        <v>21.855</v>
      </c>
      <c r="D28" s="19">
        <v>5.16</v>
      </c>
      <c r="E28" s="19" t="s">
        <v>265</v>
      </c>
      <c r="F28" s="19">
        <v>9.2349999999999994</v>
      </c>
      <c r="G28" s="19">
        <v>1</v>
      </c>
      <c r="H28" s="19">
        <v>55</v>
      </c>
      <c r="I28" s="19">
        <v>93.1</v>
      </c>
      <c r="J28" s="19">
        <v>62.6</v>
      </c>
      <c r="K28" s="19">
        <v>149.4</v>
      </c>
      <c r="L28" s="19">
        <v>1.895</v>
      </c>
      <c r="M28" s="19">
        <v>10.3</v>
      </c>
      <c r="N28" s="19">
        <v>45</v>
      </c>
      <c r="O28" s="19" t="s">
        <v>293</v>
      </c>
      <c r="P28" s="19">
        <v>23.276272330000001</v>
      </c>
    </row>
    <row r="29" spans="1:16" x14ac:dyDescent="0.3">
      <c r="A29" s="17" t="s">
        <v>27</v>
      </c>
      <c r="B29" s="19" t="s">
        <v>116</v>
      </c>
      <c r="C29" s="19">
        <v>107.995</v>
      </c>
      <c r="D29" s="19"/>
      <c r="E29" s="19" t="s">
        <v>265</v>
      </c>
      <c r="F29" s="19">
        <v>18.89</v>
      </c>
      <c r="G29" s="19">
        <v>3.4</v>
      </c>
      <c r="H29" s="19">
        <v>180</v>
      </c>
      <c r="I29" s="19">
        <v>110.5</v>
      </c>
      <c r="J29" s="19">
        <v>73</v>
      </c>
      <c r="K29" s="19">
        <v>200</v>
      </c>
      <c r="L29" s="19">
        <v>3.3889999999999998</v>
      </c>
      <c r="M29" s="19">
        <v>17</v>
      </c>
      <c r="N29" s="19">
        <v>27</v>
      </c>
      <c r="O29" s="19" t="s">
        <v>294</v>
      </c>
      <c r="P29" s="19">
        <v>71.838039440000003</v>
      </c>
    </row>
    <row r="30" spans="1:16" x14ac:dyDescent="0.3">
      <c r="A30" s="17" t="s">
        <v>28</v>
      </c>
      <c r="B30" s="19" t="s">
        <v>117</v>
      </c>
      <c r="C30" s="19">
        <v>7.8540000000000001</v>
      </c>
      <c r="D30" s="19">
        <v>12.36</v>
      </c>
      <c r="E30" s="19" t="s">
        <v>265</v>
      </c>
      <c r="F30" s="19">
        <v>19.84</v>
      </c>
      <c r="G30" s="19">
        <v>2.5</v>
      </c>
      <c r="H30" s="19">
        <v>163</v>
      </c>
      <c r="I30" s="19">
        <v>103.7</v>
      </c>
      <c r="J30" s="19">
        <v>69.7</v>
      </c>
      <c r="K30" s="19">
        <v>190.9</v>
      </c>
      <c r="L30" s="19">
        <v>2.9670000000000001</v>
      </c>
      <c r="M30" s="19">
        <v>15.9</v>
      </c>
      <c r="N30" s="19">
        <v>24</v>
      </c>
      <c r="O30" s="19" t="s">
        <v>295</v>
      </c>
      <c r="P30" s="19">
        <v>65.957183959999995</v>
      </c>
    </row>
    <row r="31" spans="1:16" x14ac:dyDescent="0.3">
      <c r="A31" s="17" t="s">
        <v>28</v>
      </c>
      <c r="B31" s="19" t="s">
        <v>118</v>
      </c>
      <c r="C31" s="19">
        <v>32.774999999999999</v>
      </c>
      <c r="D31" s="19">
        <v>14.18</v>
      </c>
      <c r="E31" s="19" t="s">
        <v>265</v>
      </c>
      <c r="F31" s="19">
        <v>24.495000000000001</v>
      </c>
      <c r="G31" s="19">
        <v>2.5</v>
      </c>
      <c r="H31" s="19">
        <v>168</v>
      </c>
      <c r="I31" s="19">
        <v>106</v>
      </c>
      <c r="J31" s="19">
        <v>69.2</v>
      </c>
      <c r="K31" s="19">
        <v>193</v>
      </c>
      <c r="L31" s="19">
        <v>3.3319999999999999</v>
      </c>
      <c r="M31" s="19">
        <v>16</v>
      </c>
      <c r="N31" s="19">
        <v>24</v>
      </c>
      <c r="O31" s="19" t="s">
        <v>296</v>
      </c>
      <c r="P31" s="19">
        <v>69.521355049999997</v>
      </c>
    </row>
    <row r="32" spans="1:16" x14ac:dyDescent="0.3">
      <c r="A32" s="17" t="s">
        <v>28</v>
      </c>
      <c r="B32" s="19" t="s">
        <v>119</v>
      </c>
      <c r="C32" s="19">
        <v>31.148</v>
      </c>
      <c r="D32" s="19">
        <v>13.725</v>
      </c>
      <c r="E32" s="19" t="s">
        <v>265</v>
      </c>
      <c r="F32" s="19">
        <v>22.245000000000001</v>
      </c>
      <c r="G32" s="19">
        <v>2.7</v>
      </c>
      <c r="H32" s="19">
        <v>200</v>
      </c>
      <c r="I32" s="19">
        <v>113</v>
      </c>
      <c r="J32" s="19">
        <v>74.400000000000006</v>
      </c>
      <c r="K32" s="19">
        <v>209.1</v>
      </c>
      <c r="L32" s="19">
        <v>3.452</v>
      </c>
      <c r="M32" s="19">
        <v>17</v>
      </c>
      <c r="N32" s="19">
        <v>26</v>
      </c>
      <c r="O32" s="19" t="s">
        <v>297</v>
      </c>
      <c r="P32" s="19">
        <v>80.02378204</v>
      </c>
    </row>
    <row r="33" spans="1:16" x14ac:dyDescent="0.3">
      <c r="A33" s="17" t="s">
        <v>28</v>
      </c>
      <c r="B33" s="19" t="s">
        <v>120</v>
      </c>
      <c r="C33" s="19">
        <v>32.305999999999997</v>
      </c>
      <c r="D33" s="19">
        <v>12.64</v>
      </c>
      <c r="E33" s="19" t="s">
        <v>265</v>
      </c>
      <c r="F33" s="19">
        <v>16.48</v>
      </c>
      <c r="G33" s="19">
        <v>2</v>
      </c>
      <c r="H33" s="19">
        <v>132</v>
      </c>
      <c r="I33" s="19">
        <v>108</v>
      </c>
      <c r="J33" s="19">
        <v>71</v>
      </c>
      <c r="K33" s="19">
        <v>186</v>
      </c>
      <c r="L33" s="19">
        <v>2.911</v>
      </c>
      <c r="M33" s="19">
        <v>16</v>
      </c>
      <c r="N33" s="19">
        <v>27</v>
      </c>
      <c r="O33" s="19" t="s">
        <v>298</v>
      </c>
      <c r="P33" s="19">
        <v>53.566199869999998</v>
      </c>
    </row>
    <row r="34" spans="1:16" x14ac:dyDescent="0.3">
      <c r="A34" s="17" t="s">
        <v>28</v>
      </c>
      <c r="B34" s="19" t="s">
        <v>121</v>
      </c>
      <c r="C34" s="19">
        <v>13.462</v>
      </c>
      <c r="D34" s="19">
        <v>17.324999999999999</v>
      </c>
      <c r="E34" s="19" t="s">
        <v>265</v>
      </c>
      <c r="F34" s="19">
        <v>28.34</v>
      </c>
      <c r="G34" s="19">
        <v>3.5</v>
      </c>
      <c r="H34" s="19">
        <v>253</v>
      </c>
      <c r="I34" s="19">
        <v>113</v>
      </c>
      <c r="J34" s="19">
        <v>74.400000000000006</v>
      </c>
      <c r="K34" s="19">
        <v>207.7</v>
      </c>
      <c r="L34" s="19">
        <v>3.5640000000000001</v>
      </c>
      <c r="M34" s="19">
        <v>17</v>
      </c>
      <c r="N34" s="19">
        <v>23</v>
      </c>
      <c r="O34" s="19" t="s">
        <v>299</v>
      </c>
      <c r="P34" s="19">
        <v>101.3292807</v>
      </c>
    </row>
    <row r="35" spans="1:16" x14ac:dyDescent="0.3">
      <c r="A35" s="17" t="s">
        <v>28</v>
      </c>
      <c r="B35" s="19" t="s">
        <v>122</v>
      </c>
      <c r="C35" s="19">
        <v>53.48</v>
      </c>
      <c r="D35" s="19">
        <v>19.54</v>
      </c>
      <c r="E35" s="19" t="s">
        <v>284</v>
      </c>
      <c r="F35" s="19"/>
      <c r="G35" s="19"/>
      <c r="H35" s="19"/>
      <c r="I35" s="19"/>
      <c r="J35" s="19"/>
      <c r="K35" s="19"/>
      <c r="L35" s="19"/>
      <c r="M35" s="19"/>
      <c r="N35" s="19"/>
      <c r="O35" s="19" t="s">
        <v>300</v>
      </c>
      <c r="P35" s="19"/>
    </row>
    <row r="36" spans="1:16" x14ac:dyDescent="0.3">
      <c r="A36" s="17" t="s">
        <v>28</v>
      </c>
      <c r="B36" s="19" t="s">
        <v>123</v>
      </c>
      <c r="C36" s="19">
        <v>30.696000000000002</v>
      </c>
      <c r="D36" s="19"/>
      <c r="E36" s="19" t="s">
        <v>265</v>
      </c>
      <c r="F36" s="19">
        <v>29.184999999999999</v>
      </c>
      <c r="G36" s="19">
        <v>3.5</v>
      </c>
      <c r="H36" s="19">
        <v>253</v>
      </c>
      <c r="I36" s="19">
        <v>113</v>
      </c>
      <c r="J36" s="19">
        <v>74.400000000000006</v>
      </c>
      <c r="K36" s="19">
        <v>197.8</v>
      </c>
      <c r="L36" s="19">
        <v>3.5670000000000002</v>
      </c>
      <c r="M36" s="19">
        <v>17</v>
      </c>
      <c r="N36" s="19">
        <v>23</v>
      </c>
      <c r="O36" s="19" t="s">
        <v>301</v>
      </c>
      <c r="P36" s="19">
        <v>101.6552441</v>
      </c>
    </row>
    <row r="37" spans="1:16" x14ac:dyDescent="0.3">
      <c r="A37" s="17" t="s">
        <v>29</v>
      </c>
      <c r="B37" s="19" t="s">
        <v>124</v>
      </c>
      <c r="C37" s="19">
        <v>76.034000000000006</v>
      </c>
      <c r="D37" s="19">
        <v>7.75</v>
      </c>
      <c r="E37" s="19" t="s">
        <v>265</v>
      </c>
      <c r="F37" s="19">
        <v>12.64</v>
      </c>
      <c r="G37" s="19">
        <v>2</v>
      </c>
      <c r="H37" s="19">
        <v>132</v>
      </c>
      <c r="I37" s="19">
        <v>105</v>
      </c>
      <c r="J37" s="19">
        <v>74.400000000000006</v>
      </c>
      <c r="K37" s="19">
        <v>174.4</v>
      </c>
      <c r="L37" s="19">
        <v>2.5670000000000002</v>
      </c>
      <c r="M37" s="19">
        <v>12.5</v>
      </c>
      <c r="N37" s="19">
        <v>29</v>
      </c>
      <c r="O37" s="19" t="s">
        <v>302</v>
      </c>
      <c r="P37" s="19">
        <v>52.084898750000001</v>
      </c>
    </row>
    <row r="38" spans="1:16" x14ac:dyDescent="0.3">
      <c r="A38" s="17" t="s">
        <v>29</v>
      </c>
      <c r="B38" s="19" t="s">
        <v>125</v>
      </c>
      <c r="C38" s="19">
        <v>4.734</v>
      </c>
      <c r="D38" s="19">
        <v>12.545</v>
      </c>
      <c r="E38" s="19" t="s">
        <v>265</v>
      </c>
      <c r="F38" s="19">
        <v>19.045000000000002</v>
      </c>
      <c r="G38" s="19">
        <v>2.5</v>
      </c>
      <c r="H38" s="19">
        <v>163</v>
      </c>
      <c r="I38" s="19">
        <v>103.7</v>
      </c>
      <c r="J38" s="19">
        <v>69.099999999999994</v>
      </c>
      <c r="K38" s="19">
        <v>190.2</v>
      </c>
      <c r="L38" s="19">
        <v>2.879</v>
      </c>
      <c r="M38" s="19">
        <v>15.9</v>
      </c>
      <c r="N38" s="19">
        <v>24</v>
      </c>
      <c r="O38" s="19" t="s">
        <v>303</v>
      </c>
      <c r="P38" s="19">
        <v>65.650508340000002</v>
      </c>
    </row>
    <row r="39" spans="1:16" x14ac:dyDescent="0.3">
      <c r="A39" s="17" t="s">
        <v>29</v>
      </c>
      <c r="B39" s="19" t="s">
        <v>126</v>
      </c>
      <c r="C39" s="19">
        <v>71.186000000000007</v>
      </c>
      <c r="D39" s="19">
        <v>10.185</v>
      </c>
      <c r="E39" s="19" t="s">
        <v>265</v>
      </c>
      <c r="F39" s="19">
        <v>20.23</v>
      </c>
      <c r="G39" s="19">
        <v>2.5</v>
      </c>
      <c r="H39" s="19">
        <v>168</v>
      </c>
      <c r="I39" s="19">
        <v>108</v>
      </c>
      <c r="J39" s="19">
        <v>71</v>
      </c>
      <c r="K39" s="19">
        <v>186</v>
      </c>
      <c r="L39" s="19">
        <v>3.0579999999999998</v>
      </c>
      <c r="M39" s="19">
        <v>16</v>
      </c>
      <c r="N39" s="19">
        <v>24</v>
      </c>
      <c r="O39" s="19" t="s">
        <v>304</v>
      </c>
      <c r="P39" s="19">
        <v>67.876107840000003</v>
      </c>
    </row>
    <row r="40" spans="1:16" x14ac:dyDescent="0.3">
      <c r="A40" s="17" t="s">
        <v>29</v>
      </c>
      <c r="B40" s="19" t="s">
        <v>127</v>
      </c>
      <c r="C40" s="19">
        <v>88.028000000000006</v>
      </c>
      <c r="D40" s="19">
        <v>12.275</v>
      </c>
      <c r="E40" s="19" t="s">
        <v>265</v>
      </c>
      <c r="F40" s="19">
        <v>22.504999999999999</v>
      </c>
      <c r="G40" s="19">
        <v>2.7</v>
      </c>
      <c r="H40" s="19">
        <v>202</v>
      </c>
      <c r="I40" s="19">
        <v>113</v>
      </c>
      <c r="J40" s="19">
        <v>74.7</v>
      </c>
      <c r="K40" s="19">
        <v>203.7</v>
      </c>
      <c r="L40" s="19">
        <v>3.4889999999999999</v>
      </c>
      <c r="M40" s="19">
        <v>17</v>
      </c>
      <c r="N40" s="19"/>
      <c r="O40" s="19" t="s">
        <v>305</v>
      </c>
      <c r="P40" s="19">
        <v>80.831470170000003</v>
      </c>
    </row>
    <row r="41" spans="1:16" x14ac:dyDescent="0.3">
      <c r="A41" s="17" t="s">
        <v>29</v>
      </c>
      <c r="B41" s="19" t="s">
        <v>128</v>
      </c>
      <c r="C41" s="19">
        <v>0.91600000000000004</v>
      </c>
      <c r="D41" s="19">
        <v>58.47</v>
      </c>
      <c r="E41" s="19" t="s">
        <v>265</v>
      </c>
      <c r="F41" s="19">
        <v>69.724999999999994</v>
      </c>
      <c r="G41" s="19">
        <v>8</v>
      </c>
      <c r="H41" s="19">
        <v>450</v>
      </c>
      <c r="I41" s="19">
        <v>96.2</v>
      </c>
      <c r="J41" s="19">
        <v>75.7</v>
      </c>
      <c r="K41" s="19">
        <v>176.7</v>
      </c>
      <c r="L41" s="19">
        <v>3.375</v>
      </c>
      <c r="M41" s="19">
        <v>19</v>
      </c>
      <c r="N41" s="19">
        <v>16</v>
      </c>
      <c r="O41" s="19" t="s">
        <v>306</v>
      </c>
      <c r="P41" s="19">
        <v>188.14432300000001</v>
      </c>
    </row>
    <row r="42" spans="1:16" x14ac:dyDescent="0.3">
      <c r="A42" s="17" t="s">
        <v>29</v>
      </c>
      <c r="B42" s="19" t="s">
        <v>129</v>
      </c>
      <c r="C42" s="19">
        <v>227.06100000000001</v>
      </c>
      <c r="D42" s="19">
        <v>15.06</v>
      </c>
      <c r="E42" s="19" t="s">
        <v>284</v>
      </c>
      <c r="F42" s="19">
        <v>19.46</v>
      </c>
      <c r="G42" s="19">
        <v>5.2</v>
      </c>
      <c r="H42" s="19">
        <v>230</v>
      </c>
      <c r="I42" s="19">
        <v>138.69999999999999</v>
      </c>
      <c r="J42" s="19">
        <v>79.3</v>
      </c>
      <c r="K42" s="19">
        <v>224.2</v>
      </c>
      <c r="L42" s="19">
        <v>4.47</v>
      </c>
      <c r="M42" s="19">
        <v>26</v>
      </c>
      <c r="N42" s="19">
        <v>17</v>
      </c>
      <c r="O42" s="19" t="s">
        <v>307</v>
      </c>
      <c r="P42" s="19">
        <v>90.211700050000005</v>
      </c>
    </row>
    <row r="43" spans="1:16" x14ac:dyDescent="0.3">
      <c r="A43" s="17" t="s">
        <v>29</v>
      </c>
      <c r="B43" s="19" t="s">
        <v>130</v>
      </c>
      <c r="C43" s="19">
        <v>16.766999999999999</v>
      </c>
      <c r="D43" s="19">
        <v>15.51</v>
      </c>
      <c r="E43" s="19" t="s">
        <v>284</v>
      </c>
      <c r="F43" s="19">
        <v>21.315000000000001</v>
      </c>
      <c r="G43" s="19">
        <v>3.9</v>
      </c>
      <c r="H43" s="19">
        <v>175</v>
      </c>
      <c r="I43" s="19">
        <v>109.6</v>
      </c>
      <c r="J43" s="19">
        <v>78.8</v>
      </c>
      <c r="K43" s="19">
        <v>192.6</v>
      </c>
      <c r="L43" s="19">
        <v>4.2450000000000001</v>
      </c>
      <c r="M43" s="19">
        <v>32</v>
      </c>
      <c r="N43" s="19">
        <v>15</v>
      </c>
      <c r="O43" s="19" t="s">
        <v>308</v>
      </c>
      <c r="P43" s="19">
        <v>71.135291609999996</v>
      </c>
    </row>
    <row r="44" spans="1:16" x14ac:dyDescent="0.3">
      <c r="A44" s="17" t="s">
        <v>29</v>
      </c>
      <c r="B44" s="19" t="s">
        <v>131</v>
      </c>
      <c r="C44" s="19">
        <v>31.038</v>
      </c>
      <c r="D44" s="19">
        <v>13.425000000000001</v>
      </c>
      <c r="E44" s="19" t="s">
        <v>284</v>
      </c>
      <c r="F44" s="19">
        <v>18.574999999999999</v>
      </c>
      <c r="G44" s="19">
        <v>3.9</v>
      </c>
      <c r="H44" s="19">
        <v>175</v>
      </c>
      <c r="I44" s="19">
        <v>127.2</v>
      </c>
      <c r="J44" s="19">
        <v>78.8</v>
      </c>
      <c r="K44" s="19">
        <v>208.5</v>
      </c>
      <c r="L44" s="19">
        <v>4.298</v>
      </c>
      <c r="M44" s="19">
        <v>32</v>
      </c>
      <c r="N44" s="19">
        <v>16</v>
      </c>
      <c r="O44" s="19" t="s">
        <v>309</v>
      </c>
      <c r="P44" s="19">
        <v>70.078321540000005</v>
      </c>
    </row>
    <row r="45" spans="1:16" x14ac:dyDescent="0.3">
      <c r="A45" s="17" t="s">
        <v>29</v>
      </c>
      <c r="B45" s="19" t="s">
        <v>132</v>
      </c>
      <c r="C45" s="19">
        <v>111.313</v>
      </c>
      <c r="D45" s="19">
        <v>11.26</v>
      </c>
      <c r="E45" s="19" t="s">
        <v>284</v>
      </c>
      <c r="F45" s="19">
        <v>16.98</v>
      </c>
      <c r="G45" s="19">
        <v>2.5</v>
      </c>
      <c r="H45" s="19">
        <v>120</v>
      </c>
      <c r="I45" s="19">
        <v>131</v>
      </c>
      <c r="J45" s="19">
        <v>71.5</v>
      </c>
      <c r="K45" s="19">
        <v>215</v>
      </c>
      <c r="L45" s="19">
        <v>3.5569999999999999</v>
      </c>
      <c r="M45" s="19">
        <v>22</v>
      </c>
      <c r="N45" s="19">
        <v>19</v>
      </c>
      <c r="O45" s="19" t="s">
        <v>310</v>
      </c>
      <c r="P45" s="19">
        <v>49.64500177</v>
      </c>
    </row>
    <row r="46" spans="1:16" x14ac:dyDescent="0.3">
      <c r="A46" s="17" t="s">
        <v>29</v>
      </c>
      <c r="B46" s="19" t="s">
        <v>133</v>
      </c>
      <c r="C46" s="19">
        <v>101.32299999999999</v>
      </c>
      <c r="D46" s="19"/>
      <c r="E46" s="19" t="s">
        <v>284</v>
      </c>
      <c r="F46" s="19">
        <v>26.31</v>
      </c>
      <c r="G46" s="19">
        <v>5.2</v>
      </c>
      <c r="H46" s="19">
        <v>230</v>
      </c>
      <c r="I46" s="19">
        <v>115.7</v>
      </c>
      <c r="J46" s="19">
        <v>71.7</v>
      </c>
      <c r="K46" s="19">
        <v>193.5</v>
      </c>
      <c r="L46" s="19">
        <v>4.3940000000000001</v>
      </c>
      <c r="M46" s="19">
        <v>25</v>
      </c>
      <c r="N46" s="19">
        <v>17</v>
      </c>
      <c r="O46" s="19" t="s">
        <v>311</v>
      </c>
      <c r="P46" s="19">
        <v>92.85412522</v>
      </c>
    </row>
    <row r="47" spans="1:16" x14ac:dyDescent="0.3">
      <c r="A47" s="17" t="s">
        <v>29</v>
      </c>
      <c r="B47" s="19" t="s">
        <v>134</v>
      </c>
      <c r="C47" s="19">
        <v>181.749</v>
      </c>
      <c r="D47" s="19">
        <v>12.025</v>
      </c>
      <c r="E47" s="19" t="s">
        <v>284</v>
      </c>
      <c r="F47" s="19">
        <v>19.565000000000001</v>
      </c>
      <c r="G47" s="19">
        <v>2.4</v>
      </c>
      <c r="H47" s="19">
        <v>150</v>
      </c>
      <c r="I47" s="19">
        <v>113.3</v>
      </c>
      <c r="J47" s="19">
        <v>76.8</v>
      </c>
      <c r="K47" s="19">
        <v>186.3</v>
      </c>
      <c r="L47" s="19">
        <v>3.5329999999999999</v>
      </c>
      <c r="M47" s="19">
        <v>20</v>
      </c>
      <c r="N47" s="19">
        <v>24</v>
      </c>
      <c r="O47" s="19" t="s">
        <v>312</v>
      </c>
      <c r="P47" s="19">
        <v>61.227000310000001</v>
      </c>
    </row>
    <row r="48" spans="1:16" x14ac:dyDescent="0.3">
      <c r="A48" s="17" t="s">
        <v>30</v>
      </c>
      <c r="B48" s="19" t="s">
        <v>135</v>
      </c>
      <c r="C48" s="19">
        <v>70.227000000000004</v>
      </c>
      <c r="D48" s="19">
        <v>7.4249999999999998</v>
      </c>
      <c r="E48" s="19" t="s">
        <v>265</v>
      </c>
      <c r="F48" s="19">
        <v>12.07</v>
      </c>
      <c r="G48" s="19">
        <v>2</v>
      </c>
      <c r="H48" s="19">
        <v>110</v>
      </c>
      <c r="I48" s="19">
        <v>98.4</v>
      </c>
      <c r="J48" s="19">
        <v>67</v>
      </c>
      <c r="K48" s="19">
        <v>174.7</v>
      </c>
      <c r="L48" s="19">
        <v>2.468</v>
      </c>
      <c r="M48" s="19">
        <v>12.7</v>
      </c>
      <c r="N48" s="19">
        <v>30</v>
      </c>
      <c r="O48" s="19" t="s">
        <v>313</v>
      </c>
      <c r="P48" s="19">
        <v>44.083709460000001</v>
      </c>
    </row>
    <row r="49" spans="1:16" x14ac:dyDescent="0.3">
      <c r="A49" s="17" t="s">
        <v>30</v>
      </c>
      <c r="B49" s="19" t="s">
        <v>136</v>
      </c>
      <c r="C49" s="19">
        <v>113.369</v>
      </c>
      <c r="D49" s="19">
        <v>12.76</v>
      </c>
      <c r="E49" s="19" t="s">
        <v>265</v>
      </c>
      <c r="F49" s="19">
        <v>21.56</v>
      </c>
      <c r="G49" s="19">
        <v>3.8</v>
      </c>
      <c r="H49" s="19">
        <v>190</v>
      </c>
      <c r="I49" s="19">
        <v>101.3</v>
      </c>
      <c r="J49" s="19">
        <v>73.099999999999994</v>
      </c>
      <c r="K49" s="19">
        <v>183.2</v>
      </c>
      <c r="L49" s="19">
        <v>3.2029999999999998</v>
      </c>
      <c r="M49" s="19">
        <v>15.7</v>
      </c>
      <c r="N49" s="19">
        <v>24</v>
      </c>
      <c r="O49" s="19" t="s">
        <v>314</v>
      </c>
      <c r="P49" s="19">
        <v>76.509184559999994</v>
      </c>
    </row>
    <row r="50" spans="1:16" x14ac:dyDescent="0.3">
      <c r="A50" s="17" t="s">
        <v>30</v>
      </c>
      <c r="B50" s="19" t="s">
        <v>137</v>
      </c>
      <c r="C50" s="19">
        <v>35.067999999999998</v>
      </c>
      <c r="D50" s="19">
        <v>8.8350000000000009</v>
      </c>
      <c r="E50" s="19" t="s">
        <v>265</v>
      </c>
      <c r="F50" s="19">
        <v>17.035</v>
      </c>
      <c r="G50" s="19">
        <v>2.5</v>
      </c>
      <c r="H50" s="19">
        <v>170</v>
      </c>
      <c r="I50" s="19">
        <v>106.5</v>
      </c>
      <c r="J50" s="19">
        <v>69.099999999999994</v>
      </c>
      <c r="K50" s="19">
        <v>184.6</v>
      </c>
      <c r="L50" s="19">
        <v>2.7690000000000001</v>
      </c>
      <c r="M50" s="19">
        <v>15</v>
      </c>
      <c r="N50" s="19">
        <v>25</v>
      </c>
      <c r="O50" s="19" t="s">
        <v>315</v>
      </c>
      <c r="P50" s="19">
        <v>67.351010720000005</v>
      </c>
    </row>
    <row r="51" spans="1:16" x14ac:dyDescent="0.3">
      <c r="A51" s="17" t="s">
        <v>30</v>
      </c>
      <c r="B51" s="19" t="s">
        <v>138</v>
      </c>
      <c r="C51" s="19">
        <v>245.815</v>
      </c>
      <c r="D51" s="19">
        <v>10.055</v>
      </c>
      <c r="E51" s="19" t="s">
        <v>265</v>
      </c>
      <c r="F51" s="19">
        <v>17.885000000000002</v>
      </c>
      <c r="G51" s="19">
        <v>3</v>
      </c>
      <c r="H51" s="19">
        <v>155</v>
      </c>
      <c r="I51" s="19">
        <v>108.5</v>
      </c>
      <c r="J51" s="19">
        <v>73</v>
      </c>
      <c r="K51" s="19">
        <v>197.6</v>
      </c>
      <c r="L51" s="19">
        <v>3.3679999999999999</v>
      </c>
      <c r="M51" s="19">
        <v>16</v>
      </c>
      <c r="N51" s="19">
        <v>24</v>
      </c>
      <c r="O51" s="19" t="s">
        <v>316</v>
      </c>
      <c r="P51" s="19">
        <v>62.503739500000002</v>
      </c>
    </row>
    <row r="52" spans="1:16" x14ac:dyDescent="0.3">
      <c r="A52" s="17" t="s">
        <v>30</v>
      </c>
      <c r="B52" s="19" t="s">
        <v>139</v>
      </c>
      <c r="C52" s="19">
        <v>175.67</v>
      </c>
      <c r="D52" s="19"/>
      <c r="E52" s="19" t="s">
        <v>265</v>
      </c>
      <c r="F52" s="19">
        <v>12.315</v>
      </c>
      <c r="G52" s="19">
        <v>2</v>
      </c>
      <c r="H52" s="19">
        <v>107</v>
      </c>
      <c r="I52" s="19">
        <v>103</v>
      </c>
      <c r="J52" s="19">
        <v>66.900000000000006</v>
      </c>
      <c r="K52" s="19">
        <v>174.8</v>
      </c>
      <c r="L52" s="19">
        <v>2.5640000000000001</v>
      </c>
      <c r="M52" s="19">
        <v>13.2</v>
      </c>
      <c r="N52" s="19">
        <v>30</v>
      </c>
      <c r="O52" s="19" t="s">
        <v>317</v>
      </c>
      <c r="P52" s="19">
        <v>43.117132009999999</v>
      </c>
    </row>
    <row r="53" spans="1:16" x14ac:dyDescent="0.3">
      <c r="A53" s="17" t="s">
        <v>30</v>
      </c>
      <c r="B53" s="19" t="s">
        <v>140</v>
      </c>
      <c r="C53" s="19">
        <v>63.402999999999999</v>
      </c>
      <c r="D53" s="19">
        <v>14.21</v>
      </c>
      <c r="E53" s="19" t="s">
        <v>265</v>
      </c>
      <c r="F53" s="19">
        <v>22.195</v>
      </c>
      <c r="G53" s="19">
        <v>4.5999999999999996</v>
      </c>
      <c r="H53" s="19">
        <v>200</v>
      </c>
      <c r="I53" s="19">
        <v>114.7</v>
      </c>
      <c r="J53" s="19">
        <v>78.2</v>
      </c>
      <c r="K53" s="19">
        <v>212</v>
      </c>
      <c r="L53" s="19">
        <v>3.9079999999999999</v>
      </c>
      <c r="M53" s="19">
        <v>19</v>
      </c>
      <c r="N53" s="19">
        <v>21</v>
      </c>
      <c r="O53" s="19" t="s">
        <v>318</v>
      </c>
      <c r="P53" s="19">
        <v>80.499536710000001</v>
      </c>
    </row>
    <row r="54" spans="1:16" x14ac:dyDescent="0.3">
      <c r="A54" s="17" t="s">
        <v>30</v>
      </c>
      <c r="B54" s="19" t="s">
        <v>141</v>
      </c>
      <c r="C54" s="19">
        <v>276.74700000000001</v>
      </c>
      <c r="D54" s="19">
        <v>16.64</v>
      </c>
      <c r="E54" s="19" t="s">
        <v>284</v>
      </c>
      <c r="F54" s="19">
        <v>31.93</v>
      </c>
      <c r="G54" s="19">
        <v>4</v>
      </c>
      <c r="H54" s="19">
        <v>210</v>
      </c>
      <c r="I54" s="19">
        <v>111.6</v>
      </c>
      <c r="J54" s="19">
        <v>70.2</v>
      </c>
      <c r="K54" s="19">
        <v>190.7</v>
      </c>
      <c r="L54" s="19">
        <v>3.8759999999999999</v>
      </c>
      <c r="M54" s="19">
        <v>21</v>
      </c>
      <c r="N54" s="19">
        <v>19</v>
      </c>
      <c r="O54" s="19" t="s">
        <v>319</v>
      </c>
      <c r="P54" s="19">
        <v>87.635495779999999</v>
      </c>
    </row>
    <row r="55" spans="1:16" x14ac:dyDescent="0.3">
      <c r="A55" s="17" t="s">
        <v>30</v>
      </c>
      <c r="B55" s="19" t="s">
        <v>142</v>
      </c>
      <c r="C55" s="19">
        <v>155.78700000000001</v>
      </c>
      <c r="D55" s="19">
        <v>13.175000000000001</v>
      </c>
      <c r="E55" s="19" t="s">
        <v>284</v>
      </c>
      <c r="F55" s="19">
        <v>21.41</v>
      </c>
      <c r="G55" s="19">
        <v>3</v>
      </c>
      <c r="H55" s="19">
        <v>150</v>
      </c>
      <c r="I55" s="19">
        <v>120.7</v>
      </c>
      <c r="J55" s="19">
        <v>76.599999999999994</v>
      </c>
      <c r="K55" s="19">
        <v>200.9</v>
      </c>
      <c r="L55" s="19">
        <v>3.7610000000000001</v>
      </c>
      <c r="M55" s="19">
        <v>26</v>
      </c>
      <c r="N55" s="19">
        <v>21</v>
      </c>
      <c r="O55" s="19" t="s">
        <v>320</v>
      </c>
      <c r="P55" s="19">
        <v>62.095048390000002</v>
      </c>
    </row>
    <row r="56" spans="1:16" x14ac:dyDescent="0.3">
      <c r="A56" s="17" t="s">
        <v>30</v>
      </c>
      <c r="B56" s="19" t="s">
        <v>143</v>
      </c>
      <c r="C56" s="19">
        <v>125.33799999999999</v>
      </c>
      <c r="D56" s="19">
        <v>23.574999999999999</v>
      </c>
      <c r="E56" s="19" t="s">
        <v>284</v>
      </c>
      <c r="F56" s="19">
        <v>36.134999999999998</v>
      </c>
      <c r="G56" s="19">
        <v>4.5999999999999996</v>
      </c>
      <c r="H56" s="19">
        <v>240</v>
      </c>
      <c r="I56" s="19">
        <v>119</v>
      </c>
      <c r="J56" s="19">
        <v>78.7</v>
      </c>
      <c r="K56" s="19">
        <v>204.6</v>
      </c>
      <c r="L56" s="19">
        <v>4.8079999999999998</v>
      </c>
      <c r="M56" s="19">
        <v>26</v>
      </c>
      <c r="N56" s="19">
        <v>16</v>
      </c>
      <c r="O56" s="19" t="s">
        <v>321</v>
      </c>
      <c r="P56" s="19">
        <v>100.0248023</v>
      </c>
    </row>
    <row r="57" spans="1:16" x14ac:dyDescent="0.3">
      <c r="A57" s="17" t="s">
        <v>30</v>
      </c>
      <c r="B57" s="19" t="s">
        <v>144</v>
      </c>
      <c r="C57" s="19">
        <v>220.65</v>
      </c>
      <c r="D57" s="19">
        <v>7.85</v>
      </c>
      <c r="E57" s="19" t="s">
        <v>284</v>
      </c>
      <c r="F57" s="19">
        <v>12.05</v>
      </c>
      <c r="G57" s="19">
        <v>2.5</v>
      </c>
      <c r="H57" s="19">
        <v>119</v>
      </c>
      <c r="I57" s="19">
        <v>117.5</v>
      </c>
      <c r="J57" s="19">
        <v>69.400000000000006</v>
      </c>
      <c r="K57" s="19">
        <v>200.7</v>
      </c>
      <c r="L57" s="19">
        <v>3.0859999999999999</v>
      </c>
      <c r="M57" s="19">
        <v>20</v>
      </c>
      <c r="N57" s="19">
        <v>23</v>
      </c>
      <c r="O57" s="19" t="s">
        <v>322</v>
      </c>
      <c r="P57" s="19">
        <v>47.389531310000002</v>
      </c>
    </row>
    <row r="58" spans="1:16" x14ac:dyDescent="0.3">
      <c r="A58" s="17" t="s">
        <v>30</v>
      </c>
      <c r="B58" s="19" t="s">
        <v>145</v>
      </c>
      <c r="C58" s="19">
        <v>540.56100000000004</v>
      </c>
      <c r="D58" s="19">
        <v>15.074999999999999</v>
      </c>
      <c r="E58" s="19" t="s">
        <v>284</v>
      </c>
      <c r="F58" s="19">
        <v>26.934999999999999</v>
      </c>
      <c r="G58" s="19">
        <v>4.5999999999999996</v>
      </c>
      <c r="H58" s="19">
        <v>220</v>
      </c>
      <c r="I58" s="19">
        <v>138.5</v>
      </c>
      <c r="J58" s="19">
        <v>79.099999999999994</v>
      </c>
      <c r="K58" s="19">
        <v>224.5</v>
      </c>
      <c r="L58" s="19">
        <v>4.2409999999999997</v>
      </c>
      <c r="M58" s="19">
        <v>25.1</v>
      </c>
      <c r="N58" s="19">
        <v>18</v>
      </c>
      <c r="O58" s="19" t="s">
        <v>323</v>
      </c>
      <c r="P58" s="19">
        <v>89.401934729999994</v>
      </c>
    </row>
    <row r="59" spans="1:16" x14ac:dyDescent="0.3">
      <c r="A59" s="17" t="s">
        <v>31</v>
      </c>
      <c r="B59" s="19" t="s">
        <v>146</v>
      </c>
      <c r="C59" s="19">
        <v>199.685</v>
      </c>
      <c r="D59" s="19">
        <v>9.85</v>
      </c>
      <c r="E59" s="19" t="s">
        <v>265</v>
      </c>
      <c r="F59" s="19">
        <v>12.885</v>
      </c>
      <c r="G59" s="19">
        <v>1.6</v>
      </c>
      <c r="H59" s="19">
        <v>106</v>
      </c>
      <c r="I59" s="19">
        <v>103.2</v>
      </c>
      <c r="J59" s="19">
        <v>67.099999999999994</v>
      </c>
      <c r="K59" s="19">
        <v>175.1</v>
      </c>
      <c r="L59" s="19">
        <v>2.339</v>
      </c>
      <c r="M59" s="19">
        <v>11.9</v>
      </c>
      <c r="N59" s="19">
        <v>32</v>
      </c>
      <c r="O59" s="19" t="s">
        <v>324</v>
      </c>
      <c r="P59" s="19">
        <v>42.879097340000001</v>
      </c>
    </row>
    <row r="60" spans="1:16" x14ac:dyDescent="0.3">
      <c r="A60" s="17" t="s">
        <v>31</v>
      </c>
      <c r="B60" s="19" t="s">
        <v>147</v>
      </c>
      <c r="C60" s="19">
        <v>230.90199999999999</v>
      </c>
      <c r="D60" s="19">
        <v>13.21</v>
      </c>
      <c r="E60" s="19" t="s">
        <v>265</v>
      </c>
      <c r="F60" s="19">
        <v>15.35</v>
      </c>
      <c r="G60" s="19">
        <v>2.2999999999999998</v>
      </c>
      <c r="H60" s="19">
        <v>135</v>
      </c>
      <c r="I60" s="19">
        <v>106.9</v>
      </c>
      <c r="J60" s="19">
        <v>70.3</v>
      </c>
      <c r="K60" s="19">
        <v>188.8</v>
      </c>
      <c r="L60" s="19">
        <v>2.9319999999999999</v>
      </c>
      <c r="M60" s="19">
        <v>17.100000000000001</v>
      </c>
      <c r="N60" s="19">
        <v>27</v>
      </c>
      <c r="O60" s="19" t="s">
        <v>325</v>
      </c>
      <c r="P60" s="19">
        <v>54.269548290000003</v>
      </c>
    </row>
    <row r="61" spans="1:16" x14ac:dyDescent="0.3">
      <c r="A61" s="17" t="s">
        <v>31</v>
      </c>
      <c r="B61" s="19" t="s">
        <v>148</v>
      </c>
      <c r="C61" s="19">
        <v>73.203000000000003</v>
      </c>
      <c r="D61" s="19">
        <v>17.71</v>
      </c>
      <c r="E61" s="19" t="s">
        <v>284</v>
      </c>
      <c r="F61" s="19">
        <v>20.55</v>
      </c>
      <c r="G61" s="19">
        <v>2</v>
      </c>
      <c r="H61" s="19">
        <v>146</v>
      </c>
      <c r="I61" s="19">
        <v>103.2</v>
      </c>
      <c r="J61" s="19">
        <v>68.900000000000006</v>
      </c>
      <c r="K61" s="19">
        <v>177.6</v>
      </c>
      <c r="L61" s="19">
        <v>3.2189999999999999</v>
      </c>
      <c r="M61" s="19">
        <v>15.3</v>
      </c>
      <c r="N61" s="19">
        <v>24</v>
      </c>
      <c r="O61" s="19" t="s">
        <v>326</v>
      </c>
      <c r="P61" s="19">
        <v>60.087966620000003</v>
      </c>
    </row>
    <row r="62" spans="1:16" x14ac:dyDescent="0.3">
      <c r="A62" s="17" t="s">
        <v>31</v>
      </c>
      <c r="B62" s="19" t="s">
        <v>149</v>
      </c>
      <c r="C62" s="19">
        <v>12.855</v>
      </c>
      <c r="D62" s="19">
        <v>17.524999999999999</v>
      </c>
      <c r="E62" s="19" t="s">
        <v>284</v>
      </c>
      <c r="F62" s="19">
        <v>26.6</v>
      </c>
      <c r="G62" s="19">
        <v>3.2</v>
      </c>
      <c r="H62" s="19">
        <v>205</v>
      </c>
      <c r="I62" s="19">
        <v>106.4</v>
      </c>
      <c r="J62" s="19">
        <v>70.400000000000006</v>
      </c>
      <c r="K62" s="19">
        <v>178.2</v>
      </c>
      <c r="L62" s="19">
        <v>3.8570000000000002</v>
      </c>
      <c r="M62" s="19">
        <v>21.1</v>
      </c>
      <c r="N62" s="19">
        <v>19</v>
      </c>
      <c r="O62" s="19" t="s">
        <v>327</v>
      </c>
      <c r="P62" s="19">
        <v>83.602500800000001</v>
      </c>
    </row>
    <row r="63" spans="1:16" x14ac:dyDescent="0.3">
      <c r="A63" s="17" t="s">
        <v>31</v>
      </c>
      <c r="B63" s="19" t="s">
        <v>150</v>
      </c>
      <c r="C63" s="19">
        <v>76.028999999999996</v>
      </c>
      <c r="D63" s="19">
        <v>19.489999999999998</v>
      </c>
      <c r="E63" s="19" t="s">
        <v>284</v>
      </c>
      <c r="F63" s="19">
        <v>26</v>
      </c>
      <c r="G63" s="19">
        <v>3.5</v>
      </c>
      <c r="H63" s="19">
        <v>210</v>
      </c>
      <c r="I63" s="19">
        <v>118.1</v>
      </c>
      <c r="J63" s="19">
        <v>75.599999999999994</v>
      </c>
      <c r="K63" s="19">
        <v>201.2</v>
      </c>
      <c r="L63" s="19">
        <v>4.2880000000000003</v>
      </c>
      <c r="M63" s="19">
        <v>20</v>
      </c>
      <c r="N63" s="19">
        <v>23</v>
      </c>
      <c r="O63" s="19" t="s">
        <v>328</v>
      </c>
      <c r="P63" s="19">
        <v>85.217691340000002</v>
      </c>
    </row>
    <row r="64" spans="1:16" x14ac:dyDescent="0.3">
      <c r="A64" s="17" t="s">
        <v>32</v>
      </c>
      <c r="B64" s="19" t="s">
        <v>151</v>
      </c>
      <c r="C64" s="19">
        <v>41.183999999999997</v>
      </c>
      <c r="D64" s="19">
        <v>5.86</v>
      </c>
      <c r="E64" s="19" t="s">
        <v>265</v>
      </c>
      <c r="F64" s="19">
        <v>9.6989999999999998</v>
      </c>
      <c r="G64" s="19">
        <v>1.5</v>
      </c>
      <c r="H64" s="19">
        <v>92</v>
      </c>
      <c r="I64" s="19">
        <v>96.1</v>
      </c>
      <c r="J64" s="19">
        <v>65.7</v>
      </c>
      <c r="K64" s="19">
        <v>166.7</v>
      </c>
      <c r="L64" s="19">
        <v>2.2400000000000002</v>
      </c>
      <c r="M64" s="19">
        <v>11.9</v>
      </c>
      <c r="N64" s="19">
        <v>31</v>
      </c>
      <c r="O64" s="19" t="s">
        <v>329</v>
      </c>
      <c r="P64" s="19">
        <v>36.672283579999998</v>
      </c>
    </row>
    <row r="65" spans="1:16" x14ac:dyDescent="0.3">
      <c r="A65" s="17" t="s">
        <v>32</v>
      </c>
      <c r="B65" s="19" t="s">
        <v>152</v>
      </c>
      <c r="C65" s="19">
        <v>66.691999999999993</v>
      </c>
      <c r="D65" s="19">
        <v>7.8250000000000002</v>
      </c>
      <c r="E65" s="19" t="s">
        <v>265</v>
      </c>
      <c r="F65" s="19">
        <v>11.798999999999999</v>
      </c>
      <c r="G65" s="19">
        <v>2</v>
      </c>
      <c r="H65" s="19">
        <v>140</v>
      </c>
      <c r="I65" s="19">
        <v>100.4</v>
      </c>
      <c r="J65" s="19">
        <v>66.900000000000006</v>
      </c>
      <c r="K65" s="19">
        <v>174</v>
      </c>
      <c r="L65" s="19">
        <v>2.6259999999999999</v>
      </c>
      <c r="M65" s="19">
        <v>14.5</v>
      </c>
      <c r="N65" s="19">
        <v>27</v>
      </c>
      <c r="O65" s="19" t="s">
        <v>330</v>
      </c>
      <c r="P65" s="19">
        <v>54.590045160000003</v>
      </c>
    </row>
    <row r="66" spans="1:16" x14ac:dyDescent="0.3">
      <c r="A66" s="17" t="s">
        <v>32</v>
      </c>
      <c r="B66" s="19" t="s">
        <v>153</v>
      </c>
      <c r="C66" s="19">
        <v>29.45</v>
      </c>
      <c r="D66" s="19">
        <v>8.91</v>
      </c>
      <c r="E66" s="19" t="s">
        <v>265</v>
      </c>
      <c r="F66" s="19">
        <v>14.999000000000001</v>
      </c>
      <c r="G66" s="19">
        <v>2.4</v>
      </c>
      <c r="H66" s="19">
        <v>148</v>
      </c>
      <c r="I66" s="19">
        <v>106.3</v>
      </c>
      <c r="J66" s="19">
        <v>71.599999999999994</v>
      </c>
      <c r="K66" s="19">
        <v>185.4</v>
      </c>
      <c r="L66" s="19">
        <v>3.0720000000000001</v>
      </c>
      <c r="M66" s="19">
        <v>17.2</v>
      </c>
      <c r="N66" s="19">
        <v>25</v>
      </c>
      <c r="O66" s="19" t="s">
        <v>331</v>
      </c>
      <c r="P66" s="19">
        <v>58.758248999999999</v>
      </c>
    </row>
    <row r="67" spans="1:16" x14ac:dyDescent="0.3">
      <c r="A67" s="17" t="s">
        <v>33</v>
      </c>
      <c r="B67" s="19" t="s">
        <v>154</v>
      </c>
      <c r="C67" s="19">
        <v>23.713000000000001</v>
      </c>
      <c r="D67" s="19">
        <v>19.690000000000001</v>
      </c>
      <c r="E67" s="19" t="s">
        <v>265</v>
      </c>
      <c r="F67" s="19">
        <v>29.465</v>
      </c>
      <c r="G67" s="19">
        <v>3</v>
      </c>
      <c r="H67" s="19">
        <v>227</v>
      </c>
      <c r="I67" s="19">
        <v>108.3</v>
      </c>
      <c r="J67" s="19">
        <v>70.2</v>
      </c>
      <c r="K67" s="19">
        <v>193.7</v>
      </c>
      <c r="L67" s="19">
        <v>3.3420000000000001</v>
      </c>
      <c r="M67" s="19">
        <v>18.5</v>
      </c>
      <c r="N67" s="19">
        <v>25</v>
      </c>
      <c r="O67" s="19" t="s">
        <v>332</v>
      </c>
      <c r="P67" s="19">
        <v>92.436889230000006</v>
      </c>
    </row>
    <row r="68" spans="1:16" x14ac:dyDescent="0.3">
      <c r="A68" s="17" t="s">
        <v>34</v>
      </c>
      <c r="B68" s="19" t="s">
        <v>155</v>
      </c>
      <c r="C68" s="19">
        <v>15.467000000000001</v>
      </c>
      <c r="D68" s="19"/>
      <c r="E68" s="19" t="s">
        <v>265</v>
      </c>
      <c r="F68" s="19">
        <v>42.8</v>
      </c>
      <c r="G68" s="19">
        <v>3</v>
      </c>
      <c r="H68" s="19">
        <v>240</v>
      </c>
      <c r="I68" s="19">
        <v>114.5</v>
      </c>
      <c r="J68" s="19">
        <v>71.599999999999994</v>
      </c>
      <c r="K68" s="19">
        <v>191.3</v>
      </c>
      <c r="L68" s="19">
        <v>3.65</v>
      </c>
      <c r="M68" s="19">
        <v>18.399999999999999</v>
      </c>
      <c r="N68" s="19">
        <v>21</v>
      </c>
      <c r="O68" s="19" t="s">
        <v>333</v>
      </c>
      <c r="P68" s="19">
        <v>102.17898479999999</v>
      </c>
    </row>
    <row r="69" spans="1:16" x14ac:dyDescent="0.3">
      <c r="A69" s="17" t="s">
        <v>35</v>
      </c>
      <c r="B69" s="19" t="s">
        <v>156</v>
      </c>
      <c r="C69" s="19">
        <v>55.557000000000002</v>
      </c>
      <c r="D69" s="19">
        <v>13.475</v>
      </c>
      <c r="E69" s="19" t="s">
        <v>284</v>
      </c>
      <c r="F69" s="19">
        <v>14.46</v>
      </c>
      <c r="G69" s="19">
        <v>2.5</v>
      </c>
      <c r="H69" s="19">
        <v>120</v>
      </c>
      <c r="I69" s="19">
        <v>93.4</v>
      </c>
      <c r="J69" s="19">
        <v>66.7</v>
      </c>
      <c r="K69" s="19">
        <v>152</v>
      </c>
      <c r="L69" s="19">
        <v>3.0449999999999999</v>
      </c>
      <c r="M69" s="19">
        <v>19</v>
      </c>
      <c r="N69" s="19">
        <v>17</v>
      </c>
      <c r="O69" s="19" t="s">
        <v>334</v>
      </c>
      <c r="P69" s="19">
        <v>48.672897910000003</v>
      </c>
    </row>
    <row r="70" spans="1:16" x14ac:dyDescent="0.3">
      <c r="A70" s="17" t="s">
        <v>35</v>
      </c>
      <c r="B70" s="19" t="s">
        <v>157</v>
      </c>
      <c r="C70" s="19">
        <v>80.555999999999997</v>
      </c>
      <c r="D70" s="19">
        <v>13.775</v>
      </c>
      <c r="E70" s="19" t="s">
        <v>284</v>
      </c>
      <c r="F70" s="19">
        <v>21.62</v>
      </c>
      <c r="G70" s="19">
        <v>4</v>
      </c>
      <c r="H70" s="19">
        <v>190</v>
      </c>
      <c r="I70" s="19">
        <v>101.4</v>
      </c>
      <c r="J70" s="19">
        <v>69.400000000000006</v>
      </c>
      <c r="K70" s="19">
        <v>167.5</v>
      </c>
      <c r="L70" s="19">
        <v>3.194</v>
      </c>
      <c r="M70" s="19">
        <v>20</v>
      </c>
      <c r="N70" s="19">
        <v>20</v>
      </c>
      <c r="O70" s="19" t="s">
        <v>335</v>
      </c>
      <c r="P70" s="19">
        <v>76.584439619999998</v>
      </c>
    </row>
    <row r="71" spans="1:16" x14ac:dyDescent="0.3">
      <c r="A71" s="17" t="s">
        <v>35</v>
      </c>
      <c r="B71" s="19" t="s">
        <v>158</v>
      </c>
      <c r="C71" s="19">
        <v>157.04</v>
      </c>
      <c r="D71" s="19">
        <v>18.809999999999999</v>
      </c>
      <c r="E71" s="19" t="s">
        <v>284</v>
      </c>
      <c r="F71" s="19">
        <v>26.895</v>
      </c>
      <c r="G71" s="19">
        <v>4</v>
      </c>
      <c r="H71" s="19">
        <v>195</v>
      </c>
      <c r="I71" s="19">
        <v>105.9</v>
      </c>
      <c r="J71" s="19">
        <v>72.3</v>
      </c>
      <c r="K71" s="19">
        <v>181.5</v>
      </c>
      <c r="L71" s="19">
        <v>3.88</v>
      </c>
      <c r="M71" s="19">
        <v>20.5</v>
      </c>
      <c r="N71" s="19">
        <v>19</v>
      </c>
      <c r="O71" s="19" t="s">
        <v>336</v>
      </c>
      <c r="P71" s="19">
        <v>80.387779120000005</v>
      </c>
    </row>
    <row r="72" spans="1:16" x14ac:dyDescent="0.3">
      <c r="A72" s="17" t="s">
        <v>36</v>
      </c>
      <c r="B72" s="19" t="s">
        <v>159</v>
      </c>
      <c r="C72" s="19">
        <v>24.071999999999999</v>
      </c>
      <c r="D72" s="19">
        <v>26.975000000000001</v>
      </c>
      <c r="E72" s="19" t="s">
        <v>265</v>
      </c>
      <c r="F72" s="19">
        <v>31.504999999999999</v>
      </c>
      <c r="G72" s="19">
        <v>3</v>
      </c>
      <c r="H72" s="19">
        <v>210</v>
      </c>
      <c r="I72" s="19">
        <v>105.1</v>
      </c>
      <c r="J72" s="19">
        <v>70.5</v>
      </c>
      <c r="K72" s="19">
        <v>190.2</v>
      </c>
      <c r="L72" s="19">
        <v>3.3730000000000002</v>
      </c>
      <c r="M72" s="19">
        <v>18.5</v>
      </c>
      <c r="N72" s="19">
        <v>23</v>
      </c>
      <c r="O72" s="19" t="s">
        <v>337</v>
      </c>
      <c r="P72" s="19">
        <v>87.211001039999999</v>
      </c>
    </row>
    <row r="73" spans="1:16" x14ac:dyDescent="0.3">
      <c r="A73" s="17" t="s">
        <v>36</v>
      </c>
      <c r="B73" s="19" t="s">
        <v>160</v>
      </c>
      <c r="C73" s="19">
        <v>12.698</v>
      </c>
      <c r="D73" s="19">
        <v>32.075000000000003</v>
      </c>
      <c r="E73" s="19" t="s">
        <v>265</v>
      </c>
      <c r="F73" s="19">
        <v>37.805</v>
      </c>
      <c r="G73" s="19">
        <v>3</v>
      </c>
      <c r="H73" s="19">
        <v>225</v>
      </c>
      <c r="I73" s="19">
        <v>110.2</v>
      </c>
      <c r="J73" s="19">
        <v>70.900000000000006</v>
      </c>
      <c r="K73" s="19">
        <v>189.2</v>
      </c>
      <c r="L73" s="19">
        <v>3.6379999999999999</v>
      </c>
      <c r="M73" s="19">
        <v>19.8</v>
      </c>
      <c r="N73" s="19">
        <v>23</v>
      </c>
      <c r="O73" s="19" t="s">
        <v>338</v>
      </c>
      <c r="P73" s="19">
        <v>94.946698400000002</v>
      </c>
    </row>
    <row r="74" spans="1:16" x14ac:dyDescent="0.3">
      <c r="A74" s="17" t="s">
        <v>36</v>
      </c>
      <c r="B74" s="19" t="s">
        <v>161</v>
      </c>
      <c r="C74" s="19">
        <v>3.3340000000000001</v>
      </c>
      <c r="D74" s="19"/>
      <c r="E74" s="19" t="s">
        <v>265</v>
      </c>
      <c r="F74" s="19">
        <v>46.305</v>
      </c>
      <c r="G74" s="19">
        <v>4</v>
      </c>
      <c r="H74" s="19">
        <v>300</v>
      </c>
      <c r="I74" s="19">
        <v>110.2</v>
      </c>
      <c r="J74" s="19">
        <v>70.900000000000006</v>
      </c>
      <c r="K74" s="19">
        <v>189.2</v>
      </c>
      <c r="L74" s="19">
        <v>3.6930000000000001</v>
      </c>
      <c r="M74" s="19">
        <v>19.8</v>
      </c>
      <c r="N74" s="19">
        <v>21</v>
      </c>
      <c r="O74" s="19" t="s">
        <v>339</v>
      </c>
      <c r="P74" s="19">
        <v>125.0133574</v>
      </c>
    </row>
    <row r="75" spans="1:16" x14ac:dyDescent="0.3">
      <c r="A75" s="17" t="s">
        <v>36</v>
      </c>
      <c r="B75" s="19" t="s">
        <v>162</v>
      </c>
      <c r="C75" s="19">
        <v>6.375</v>
      </c>
      <c r="D75" s="19">
        <v>40.375</v>
      </c>
      <c r="E75" s="19" t="s">
        <v>265</v>
      </c>
      <c r="F75" s="19">
        <v>54.005000000000003</v>
      </c>
      <c r="G75" s="19">
        <v>4</v>
      </c>
      <c r="H75" s="19">
        <v>290</v>
      </c>
      <c r="I75" s="19">
        <v>112.2</v>
      </c>
      <c r="J75" s="19">
        <v>72</v>
      </c>
      <c r="K75" s="19">
        <v>196.7</v>
      </c>
      <c r="L75" s="19">
        <v>3.89</v>
      </c>
      <c r="M75" s="19">
        <v>22.5</v>
      </c>
      <c r="N75" s="19">
        <v>22</v>
      </c>
      <c r="O75" s="19" t="s">
        <v>340</v>
      </c>
      <c r="P75" s="19">
        <v>124.44671630000001</v>
      </c>
    </row>
    <row r="76" spans="1:16" x14ac:dyDescent="0.3">
      <c r="A76" s="17" t="s">
        <v>36</v>
      </c>
      <c r="B76" s="19" t="s">
        <v>163</v>
      </c>
      <c r="C76" s="19">
        <v>9.1259999999999994</v>
      </c>
      <c r="D76" s="19"/>
      <c r="E76" s="19" t="s">
        <v>284</v>
      </c>
      <c r="F76" s="19">
        <v>60.104999999999997</v>
      </c>
      <c r="G76" s="19">
        <v>4.7</v>
      </c>
      <c r="H76" s="19">
        <v>230</v>
      </c>
      <c r="I76" s="19">
        <v>112.2</v>
      </c>
      <c r="J76" s="19">
        <v>76.400000000000006</v>
      </c>
      <c r="K76" s="19">
        <v>192.5</v>
      </c>
      <c r="L76" s="19">
        <v>5.4009999999999998</v>
      </c>
      <c r="M76" s="19">
        <v>25.4</v>
      </c>
      <c r="N76" s="19">
        <v>15</v>
      </c>
      <c r="O76" s="19" t="s">
        <v>341</v>
      </c>
      <c r="P76" s="19">
        <v>105.760458</v>
      </c>
    </row>
    <row r="77" spans="1:16" x14ac:dyDescent="0.3">
      <c r="A77" s="17" t="s">
        <v>36</v>
      </c>
      <c r="B77" s="19" t="s">
        <v>164</v>
      </c>
      <c r="C77" s="19">
        <v>51.238</v>
      </c>
      <c r="D77" s="19"/>
      <c r="E77" s="19" t="s">
        <v>284</v>
      </c>
      <c r="F77" s="19">
        <v>34.604999999999997</v>
      </c>
      <c r="G77" s="19">
        <v>3</v>
      </c>
      <c r="H77" s="19">
        <v>220</v>
      </c>
      <c r="I77" s="19">
        <v>103</v>
      </c>
      <c r="J77" s="19">
        <v>71.5</v>
      </c>
      <c r="K77" s="19">
        <v>180.1</v>
      </c>
      <c r="L77" s="19">
        <v>3.9</v>
      </c>
      <c r="M77" s="19">
        <v>17.2</v>
      </c>
      <c r="N77" s="19">
        <v>21</v>
      </c>
      <c r="O77" s="19" t="s">
        <v>268</v>
      </c>
      <c r="P77" s="19">
        <v>91.943801559999997</v>
      </c>
    </row>
    <row r="78" spans="1:16" x14ac:dyDescent="0.3">
      <c r="A78" s="17" t="s">
        <v>37</v>
      </c>
      <c r="B78" s="19" t="s">
        <v>165</v>
      </c>
      <c r="C78" s="19">
        <v>13.798</v>
      </c>
      <c r="D78" s="19">
        <v>20.524999999999999</v>
      </c>
      <c r="E78" s="19" t="s">
        <v>265</v>
      </c>
      <c r="F78" s="19">
        <v>39.08</v>
      </c>
      <c r="G78" s="19">
        <v>4.5999999999999996</v>
      </c>
      <c r="H78" s="19">
        <v>275</v>
      </c>
      <c r="I78" s="19">
        <v>109</v>
      </c>
      <c r="J78" s="19">
        <v>73.599999999999994</v>
      </c>
      <c r="K78" s="19">
        <v>208.5</v>
      </c>
      <c r="L78" s="19">
        <v>3.8679999999999999</v>
      </c>
      <c r="M78" s="19">
        <v>20</v>
      </c>
      <c r="N78" s="19">
        <v>22</v>
      </c>
      <c r="O78" s="19" t="s">
        <v>342</v>
      </c>
      <c r="P78" s="19">
        <v>113.5402069</v>
      </c>
    </row>
    <row r="79" spans="1:16" x14ac:dyDescent="0.3">
      <c r="A79" s="17" t="s">
        <v>37</v>
      </c>
      <c r="B79" s="19" t="s">
        <v>343</v>
      </c>
      <c r="C79" s="19">
        <v>48.911000000000001</v>
      </c>
      <c r="D79" s="19">
        <v>21.725000000000001</v>
      </c>
      <c r="E79" s="19" t="s">
        <v>265</v>
      </c>
      <c r="F79" s="19">
        <v>43.33</v>
      </c>
      <c r="G79" s="19">
        <v>4.5999999999999996</v>
      </c>
      <c r="H79" s="19">
        <v>215</v>
      </c>
      <c r="I79" s="19">
        <v>117.7</v>
      </c>
      <c r="J79" s="19">
        <v>78.2</v>
      </c>
      <c r="K79" s="19">
        <v>215.3</v>
      </c>
      <c r="L79" s="19">
        <v>4.1210000000000004</v>
      </c>
      <c r="M79" s="19">
        <v>19</v>
      </c>
      <c r="N79" s="19">
        <v>21</v>
      </c>
      <c r="O79" s="19" t="s">
        <v>344</v>
      </c>
      <c r="P79" s="19">
        <v>93.957916900000001</v>
      </c>
    </row>
    <row r="80" spans="1:16" x14ac:dyDescent="0.3">
      <c r="A80" s="17" t="s">
        <v>37</v>
      </c>
      <c r="B80" s="19" t="s">
        <v>167</v>
      </c>
      <c r="C80" s="19">
        <v>22.925000000000001</v>
      </c>
      <c r="D80" s="19"/>
      <c r="E80" s="19" t="s">
        <v>284</v>
      </c>
      <c r="F80" s="19">
        <v>42.66</v>
      </c>
      <c r="G80" s="19">
        <v>5.4</v>
      </c>
      <c r="H80" s="19">
        <v>300</v>
      </c>
      <c r="I80" s="19">
        <v>119</v>
      </c>
      <c r="J80" s="19">
        <v>79.900000000000006</v>
      </c>
      <c r="K80" s="19">
        <v>204.8</v>
      </c>
      <c r="L80" s="19">
        <v>5.3929999999999998</v>
      </c>
      <c r="M80" s="19">
        <v>30</v>
      </c>
      <c r="N80" s="19">
        <v>15</v>
      </c>
      <c r="O80" s="19" t="s">
        <v>345</v>
      </c>
      <c r="P80" s="19">
        <v>123.97204670000001</v>
      </c>
    </row>
    <row r="81" spans="1:16" x14ac:dyDescent="0.3">
      <c r="A81" s="17" t="s">
        <v>40</v>
      </c>
      <c r="B81" s="19" t="s">
        <v>168</v>
      </c>
      <c r="C81" s="19">
        <v>26.231999999999999</v>
      </c>
      <c r="D81" s="19">
        <v>8.3249999999999993</v>
      </c>
      <c r="E81" s="19" t="s">
        <v>265</v>
      </c>
      <c r="F81" s="19">
        <v>13.987</v>
      </c>
      <c r="G81" s="19">
        <v>1.8</v>
      </c>
      <c r="H81" s="19">
        <v>113</v>
      </c>
      <c r="I81" s="19">
        <v>98.4</v>
      </c>
      <c r="J81" s="19">
        <v>66.5</v>
      </c>
      <c r="K81" s="19">
        <v>173.6</v>
      </c>
      <c r="L81" s="19">
        <v>2.25</v>
      </c>
      <c r="M81" s="19">
        <v>13.2</v>
      </c>
      <c r="N81" s="19">
        <v>30</v>
      </c>
      <c r="O81" s="19" t="s">
        <v>346</v>
      </c>
      <c r="P81" s="19">
        <v>45.832180559999998</v>
      </c>
    </row>
    <row r="82" spans="1:16" x14ac:dyDescent="0.3">
      <c r="A82" s="17" t="s">
        <v>40</v>
      </c>
      <c r="B82" s="19" t="s">
        <v>169</v>
      </c>
      <c r="C82" s="19">
        <v>42.540999999999997</v>
      </c>
      <c r="D82" s="19">
        <v>10.395</v>
      </c>
      <c r="E82" s="19" t="s">
        <v>265</v>
      </c>
      <c r="F82" s="19">
        <v>19.047000000000001</v>
      </c>
      <c r="G82" s="19">
        <v>2.4</v>
      </c>
      <c r="H82" s="19">
        <v>154</v>
      </c>
      <c r="I82" s="19">
        <v>100.8</v>
      </c>
      <c r="J82" s="19">
        <v>68.900000000000006</v>
      </c>
      <c r="K82" s="19">
        <v>175.4</v>
      </c>
      <c r="L82" s="19">
        <v>2.91</v>
      </c>
      <c r="M82" s="19">
        <v>15.9</v>
      </c>
      <c r="N82" s="19">
        <v>24</v>
      </c>
      <c r="O82" s="19" t="s">
        <v>347</v>
      </c>
      <c r="P82" s="19">
        <v>62.441962349999997</v>
      </c>
    </row>
    <row r="83" spans="1:16" x14ac:dyDescent="0.3">
      <c r="A83" s="17" t="s">
        <v>40</v>
      </c>
      <c r="B83" s="19" t="s">
        <v>170</v>
      </c>
      <c r="C83" s="19">
        <v>55.616</v>
      </c>
      <c r="D83" s="19">
        <v>10.595000000000001</v>
      </c>
      <c r="E83" s="19" t="s">
        <v>265</v>
      </c>
      <c r="F83" s="19">
        <v>17.356999999999999</v>
      </c>
      <c r="G83" s="19">
        <v>2.4</v>
      </c>
      <c r="H83" s="19">
        <v>145</v>
      </c>
      <c r="I83" s="19">
        <v>103.7</v>
      </c>
      <c r="J83" s="19">
        <v>68.5</v>
      </c>
      <c r="K83" s="19">
        <v>187.8</v>
      </c>
      <c r="L83" s="19">
        <v>2.9449999999999998</v>
      </c>
      <c r="M83" s="19">
        <v>16.3</v>
      </c>
      <c r="N83" s="19">
        <v>25</v>
      </c>
      <c r="O83" s="19" t="s">
        <v>274</v>
      </c>
      <c r="P83" s="19">
        <v>58.606772919999997</v>
      </c>
    </row>
    <row r="84" spans="1:16" x14ac:dyDescent="0.3">
      <c r="A84" s="17" t="s">
        <v>40</v>
      </c>
      <c r="B84" s="19" t="s">
        <v>171</v>
      </c>
      <c r="C84" s="19">
        <v>5.7110000000000003</v>
      </c>
      <c r="D84" s="19">
        <v>16.574999999999999</v>
      </c>
      <c r="E84" s="19" t="s">
        <v>265</v>
      </c>
      <c r="F84" s="19">
        <v>24.997</v>
      </c>
      <c r="G84" s="19">
        <v>3.5</v>
      </c>
      <c r="H84" s="19">
        <v>210</v>
      </c>
      <c r="I84" s="19">
        <v>107.1</v>
      </c>
      <c r="J84" s="19">
        <v>70.3</v>
      </c>
      <c r="K84" s="19">
        <v>194.1</v>
      </c>
      <c r="L84" s="19">
        <v>3.4430000000000001</v>
      </c>
      <c r="M84" s="19">
        <v>19</v>
      </c>
      <c r="N84" s="19">
        <v>22</v>
      </c>
      <c r="O84" s="19" t="s">
        <v>348</v>
      </c>
      <c r="P84" s="19">
        <v>84.83077858</v>
      </c>
    </row>
    <row r="85" spans="1:16" x14ac:dyDescent="0.3">
      <c r="A85" s="17" t="s">
        <v>40</v>
      </c>
      <c r="B85" s="19" t="s">
        <v>172</v>
      </c>
      <c r="C85" s="19">
        <v>0.11</v>
      </c>
      <c r="D85" s="19">
        <v>20.94</v>
      </c>
      <c r="E85" s="19" t="s">
        <v>265</v>
      </c>
      <c r="F85" s="19">
        <v>25.45</v>
      </c>
      <c r="G85" s="19">
        <v>3</v>
      </c>
      <c r="H85" s="19">
        <v>161</v>
      </c>
      <c r="I85" s="19">
        <v>97.2</v>
      </c>
      <c r="J85" s="19">
        <v>72.400000000000006</v>
      </c>
      <c r="K85" s="19">
        <v>180.3</v>
      </c>
      <c r="L85" s="19">
        <v>3.1309999999999998</v>
      </c>
      <c r="M85" s="19">
        <v>19.8</v>
      </c>
      <c r="N85" s="19">
        <v>21</v>
      </c>
      <c r="O85" s="19" t="s">
        <v>349</v>
      </c>
      <c r="P85" s="19">
        <v>67.544154939999999</v>
      </c>
    </row>
    <row r="86" spans="1:16" x14ac:dyDescent="0.3">
      <c r="A86" s="17" t="s">
        <v>40</v>
      </c>
      <c r="B86" s="19" t="s">
        <v>173</v>
      </c>
      <c r="C86" s="19">
        <v>11.337</v>
      </c>
      <c r="D86" s="19">
        <v>19.125</v>
      </c>
      <c r="E86" s="19" t="s">
        <v>284</v>
      </c>
      <c r="F86" s="19">
        <v>31.806999999999999</v>
      </c>
      <c r="G86" s="19">
        <v>3.5</v>
      </c>
      <c r="H86" s="19">
        <v>200</v>
      </c>
      <c r="I86" s="19">
        <v>107.3</v>
      </c>
      <c r="J86" s="19">
        <v>69.900000000000006</v>
      </c>
      <c r="K86" s="19">
        <v>186.6</v>
      </c>
      <c r="L86" s="19">
        <v>4.5199999999999996</v>
      </c>
      <c r="M86" s="19">
        <v>24.3</v>
      </c>
      <c r="N86" s="19">
        <v>18</v>
      </c>
      <c r="O86" s="19" t="s">
        <v>350</v>
      </c>
      <c r="P86" s="19">
        <v>83.920815039999994</v>
      </c>
    </row>
    <row r="87" spans="1:16" x14ac:dyDescent="0.3">
      <c r="A87" s="17" t="s">
        <v>40</v>
      </c>
      <c r="B87" s="19" t="s">
        <v>174</v>
      </c>
      <c r="C87" s="19">
        <v>39.347999999999999</v>
      </c>
      <c r="D87" s="19">
        <v>13.88</v>
      </c>
      <c r="E87" s="19" t="s">
        <v>284</v>
      </c>
      <c r="F87" s="19">
        <v>22.527000000000001</v>
      </c>
      <c r="G87" s="19">
        <v>3</v>
      </c>
      <c r="H87" s="19">
        <v>173</v>
      </c>
      <c r="I87" s="19">
        <v>107.3</v>
      </c>
      <c r="J87" s="19">
        <v>66.7</v>
      </c>
      <c r="K87" s="19">
        <v>178.3</v>
      </c>
      <c r="L87" s="19">
        <v>3.51</v>
      </c>
      <c r="M87" s="19">
        <v>19.5</v>
      </c>
      <c r="N87" s="19">
        <v>20</v>
      </c>
      <c r="O87" s="19" t="s">
        <v>351</v>
      </c>
      <c r="P87" s="19">
        <v>70.660941789999995</v>
      </c>
    </row>
    <row r="88" spans="1:16" x14ac:dyDescent="0.3">
      <c r="A88" s="17" t="s">
        <v>39</v>
      </c>
      <c r="B88" s="19" t="s">
        <v>175</v>
      </c>
      <c r="C88" s="19">
        <v>14.351000000000001</v>
      </c>
      <c r="D88" s="19">
        <v>8.8000000000000007</v>
      </c>
      <c r="E88" s="19" t="s">
        <v>265</v>
      </c>
      <c r="F88" s="19">
        <v>16.239999999999998</v>
      </c>
      <c r="G88" s="19">
        <v>2</v>
      </c>
      <c r="H88" s="19">
        <v>125</v>
      </c>
      <c r="I88" s="19">
        <v>106.5</v>
      </c>
      <c r="J88" s="19">
        <v>69.099999999999994</v>
      </c>
      <c r="K88" s="19">
        <v>184.8</v>
      </c>
      <c r="L88" s="19">
        <v>2.7690000000000001</v>
      </c>
      <c r="M88" s="19">
        <v>15</v>
      </c>
      <c r="N88" s="19">
        <v>28</v>
      </c>
      <c r="O88" s="19" t="s">
        <v>352</v>
      </c>
      <c r="P88" s="19">
        <v>50.997747609999998</v>
      </c>
    </row>
    <row r="89" spans="1:16" x14ac:dyDescent="0.3">
      <c r="A89" s="17" t="s">
        <v>39</v>
      </c>
      <c r="B89" s="19" t="s">
        <v>176</v>
      </c>
      <c r="C89" s="19">
        <v>26.529</v>
      </c>
      <c r="D89" s="19">
        <v>13.89</v>
      </c>
      <c r="E89" s="19" t="s">
        <v>265</v>
      </c>
      <c r="F89" s="19">
        <v>16.54</v>
      </c>
      <c r="G89" s="19">
        <v>2</v>
      </c>
      <c r="H89" s="19">
        <v>125</v>
      </c>
      <c r="I89" s="19">
        <v>106.4</v>
      </c>
      <c r="J89" s="19">
        <v>69.599999999999994</v>
      </c>
      <c r="K89" s="19">
        <v>185</v>
      </c>
      <c r="L89" s="19">
        <v>2.8919999999999999</v>
      </c>
      <c r="M89" s="19">
        <v>16</v>
      </c>
      <c r="N89" s="19">
        <v>30</v>
      </c>
      <c r="O89" s="19" t="s">
        <v>280</v>
      </c>
      <c r="P89" s="19">
        <v>51.113474259999997</v>
      </c>
    </row>
    <row r="90" spans="1:16" x14ac:dyDescent="0.3">
      <c r="A90" s="17" t="s">
        <v>39</v>
      </c>
      <c r="B90" s="19" t="s">
        <v>177</v>
      </c>
      <c r="C90" s="19">
        <v>67.956000000000003</v>
      </c>
      <c r="D90" s="19">
        <v>11.03</v>
      </c>
      <c r="E90" s="19" t="s">
        <v>265</v>
      </c>
      <c r="F90" s="19">
        <v>19.035</v>
      </c>
      <c r="G90" s="19">
        <v>3</v>
      </c>
      <c r="H90" s="19">
        <v>153</v>
      </c>
      <c r="I90" s="19">
        <v>108.5</v>
      </c>
      <c r="J90" s="19">
        <v>73</v>
      </c>
      <c r="K90" s="19">
        <v>199.7</v>
      </c>
      <c r="L90" s="19">
        <v>3.379</v>
      </c>
      <c r="M90" s="19">
        <v>16</v>
      </c>
      <c r="N90" s="19">
        <v>24</v>
      </c>
      <c r="O90" s="19" t="s">
        <v>353</v>
      </c>
      <c r="P90" s="19">
        <v>62.239966629999998</v>
      </c>
    </row>
    <row r="91" spans="1:16" x14ac:dyDescent="0.3">
      <c r="A91" s="17" t="s">
        <v>39</v>
      </c>
      <c r="B91" s="19" t="s">
        <v>178</v>
      </c>
      <c r="C91" s="19">
        <v>81.174000000000007</v>
      </c>
      <c r="D91" s="19">
        <v>14.875</v>
      </c>
      <c r="E91" s="19" t="s">
        <v>265</v>
      </c>
      <c r="F91" s="19">
        <v>22.605</v>
      </c>
      <c r="G91" s="19">
        <v>4.5999999999999996</v>
      </c>
      <c r="H91" s="19">
        <v>200</v>
      </c>
      <c r="I91" s="19">
        <v>114.7</v>
      </c>
      <c r="J91" s="19">
        <v>78.2</v>
      </c>
      <c r="K91" s="19">
        <v>212</v>
      </c>
      <c r="L91" s="19">
        <v>3.9580000000000002</v>
      </c>
      <c r="M91" s="19">
        <v>19</v>
      </c>
      <c r="N91" s="19">
        <v>21</v>
      </c>
      <c r="O91" s="19" t="s">
        <v>354</v>
      </c>
      <c r="P91" s="19">
        <v>80.657696459999997</v>
      </c>
    </row>
    <row r="92" spans="1:16" x14ac:dyDescent="0.3">
      <c r="A92" s="17" t="s">
        <v>39</v>
      </c>
      <c r="B92" s="19" t="s">
        <v>179</v>
      </c>
      <c r="C92" s="19">
        <v>27.609000000000002</v>
      </c>
      <c r="D92" s="19">
        <v>20.43</v>
      </c>
      <c r="E92" s="19" t="s">
        <v>284</v>
      </c>
      <c r="F92" s="19">
        <v>27.56</v>
      </c>
      <c r="G92" s="19">
        <v>4</v>
      </c>
      <c r="H92" s="19">
        <v>210</v>
      </c>
      <c r="I92" s="19">
        <v>111.6</v>
      </c>
      <c r="J92" s="19">
        <v>70.2</v>
      </c>
      <c r="K92" s="19">
        <v>190.1</v>
      </c>
      <c r="L92" s="19">
        <v>3.8759999999999999</v>
      </c>
      <c r="M92" s="19">
        <v>21</v>
      </c>
      <c r="N92" s="19">
        <v>18</v>
      </c>
      <c r="O92" s="19" t="s">
        <v>355</v>
      </c>
      <c r="P92" s="19">
        <v>85.949744249999995</v>
      </c>
    </row>
    <row r="93" spans="1:16" x14ac:dyDescent="0.3">
      <c r="A93" s="17" t="s">
        <v>39</v>
      </c>
      <c r="B93" s="19" t="s">
        <v>180</v>
      </c>
      <c r="C93" s="19">
        <v>20.38</v>
      </c>
      <c r="D93" s="19">
        <v>14.795</v>
      </c>
      <c r="E93" s="19" t="s">
        <v>284</v>
      </c>
      <c r="F93" s="19">
        <v>22.51</v>
      </c>
      <c r="G93" s="19">
        <v>3.3</v>
      </c>
      <c r="H93" s="19">
        <v>170</v>
      </c>
      <c r="I93" s="19">
        <v>112.2</v>
      </c>
      <c r="J93" s="19">
        <v>74.900000000000006</v>
      </c>
      <c r="K93" s="19">
        <v>194.7</v>
      </c>
      <c r="L93" s="19">
        <v>3.944</v>
      </c>
      <c r="M93" s="19">
        <v>20</v>
      </c>
      <c r="N93" s="19">
        <v>21</v>
      </c>
      <c r="O93" s="19" t="s">
        <v>356</v>
      </c>
      <c r="P93" s="19">
        <v>69.671460999999994</v>
      </c>
    </row>
    <row r="94" spans="1:16" x14ac:dyDescent="0.3">
      <c r="A94" s="17" t="s">
        <v>357</v>
      </c>
      <c r="B94" s="19" t="s">
        <v>181</v>
      </c>
      <c r="C94" s="19">
        <v>18.391999999999999</v>
      </c>
      <c r="D94" s="19">
        <v>26.05</v>
      </c>
      <c r="E94" s="19" t="s">
        <v>265</v>
      </c>
      <c r="F94" s="19">
        <v>31.75</v>
      </c>
      <c r="G94" s="19">
        <v>2.2999999999999998</v>
      </c>
      <c r="H94" s="19">
        <v>185</v>
      </c>
      <c r="I94" s="19">
        <v>105.9</v>
      </c>
      <c r="J94" s="19">
        <v>67.7</v>
      </c>
      <c r="K94" s="19">
        <v>177.4</v>
      </c>
      <c r="L94" s="19">
        <v>3.25</v>
      </c>
      <c r="M94" s="19">
        <v>16.399999999999999</v>
      </c>
      <c r="N94" s="19">
        <v>26</v>
      </c>
      <c r="O94" s="19" t="s">
        <v>358</v>
      </c>
      <c r="P94" s="19">
        <v>78.280730879999993</v>
      </c>
    </row>
    <row r="95" spans="1:16" x14ac:dyDescent="0.3">
      <c r="A95" s="17" t="s">
        <v>357</v>
      </c>
      <c r="B95" s="19" t="s">
        <v>182</v>
      </c>
      <c r="C95" s="19">
        <v>27.602</v>
      </c>
      <c r="D95" s="19">
        <v>41.45</v>
      </c>
      <c r="E95" s="19" t="s">
        <v>265</v>
      </c>
      <c r="F95" s="19">
        <v>49.9</v>
      </c>
      <c r="G95" s="19">
        <v>3.2</v>
      </c>
      <c r="H95" s="19">
        <v>221</v>
      </c>
      <c r="I95" s="19">
        <v>111.5</v>
      </c>
      <c r="J95" s="19">
        <v>70.8</v>
      </c>
      <c r="K95" s="19">
        <v>189.4</v>
      </c>
      <c r="L95" s="19">
        <v>3.823</v>
      </c>
      <c r="M95" s="19">
        <v>21.1</v>
      </c>
      <c r="N95" s="19">
        <v>25</v>
      </c>
      <c r="O95" s="19" t="s">
        <v>359</v>
      </c>
      <c r="P95" s="19">
        <v>98.249737499999995</v>
      </c>
    </row>
    <row r="96" spans="1:16" x14ac:dyDescent="0.3">
      <c r="A96" s="17" t="s">
        <v>357</v>
      </c>
      <c r="B96" s="19" t="s">
        <v>183</v>
      </c>
      <c r="C96" s="19">
        <v>16.774000000000001</v>
      </c>
      <c r="D96" s="19">
        <v>50.375</v>
      </c>
      <c r="E96" s="19" t="s">
        <v>265</v>
      </c>
      <c r="F96" s="19">
        <v>69.7</v>
      </c>
      <c r="G96" s="19">
        <v>4.3</v>
      </c>
      <c r="H96" s="19">
        <v>275</v>
      </c>
      <c r="I96" s="19">
        <v>121.5</v>
      </c>
      <c r="J96" s="19">
        <v>73.099999999999994</v>
      </c>
      <c r="K96" s="19">
        <v>203.1</v>
      </c>
      <c r="L96" s="19">
        <v>4.133</v>
      </c>
      <c r="M96" s="19">
        <v>23.2</v>
      </c>
      <c r="N96" s="19">
        <v>21</v>
      </c>
      <c r="O96" s="19" t="s">
        <v>360</v>
      </c>
      <c r="P96" s="19">
        <v>125.2738757</v>
      </c>
    </row>
    <row r="97" spans="1:16" x14ac:dyDescent="0.3">
      <c r="A97" s="17" t="s">
        <v>357</v>
      </c>
      <c r="B97" s="19" t="s">
        <v>184</v>
      </c>
      <c r="C97" s="19">
        <v>3.3109999999999999</v>
      </c>
      <c r="D97" s="19">
        <v>58.6</v>
      </c>
      <c r="E97" s="19" t="s">
        <v>265</v>
      </c>
      <c r="F97" s="19">
        <v>82.6</v>
      </c>
      <c r="G97" s="19">
        <v>5</v>
      </c>
      <c r="H97" s="19">
        <v>302</v>
      </c>
      <c r="I97" s="19">
        <v>99</v>
      </c>
      <c r="J97" s="19">
        <v>71.3</v>
      </c>
      <c r="K97" s="19">
        <v>177.1</v>
      </c>
      <c r="L97" s="19">
        <v>4.125</v>
      </c>
      <c r="M97" s="19">
        <v>21.1</v>
      </c>
      <c r="N97" s="19">
        <v>20</v>
      </c>
      <c r="O97" s="19" t="s">
        <v>361</v>
      </c>
      <c r="P97" s="19">
        <v>139.98229359999999</v>
      </c>
    </row>
    <row r="98" spans="1:16" x14ac:dyDescent="0.3">
      <c r="A98" s="17" t="s">
        <v>357</v>
      </c>
      <c r="B98" s="19" t="s">
        <v>185</v>
      </c>
      <c r="C98" s="19">
        <v>7.9980000000000002</v>
      </c>
      <c r="D98" s="19"/>
      <c r="E98" s="19" t="s">
        <v>265</v>
      </c>
      <c r="F98" s="19">
        <v>38.9</v>
      </c>
      <c r="G98" s="19">
        <v>2.2999999999999998</v>
      </c>
      <c r="H98" s="19">
        <v>190</v>
      </c>
      <c r="I98" s="19">
        <v>94.5</v>
      </c>
      <c r="J98" s="19">
        <v>67.5</v>
      </c>
      <c r="K98" s="19">
        <v>157.9</v>
      </c>
      <c r="L98" s="19">
        <v>3.0550000000000002</v>
      </c>
      <c r="M98" s="19">
        <v>15.9</v>
      </c>
      <c r="N98" s="19">
        <v>26</v>
      </c>
      <c r="O98" s="19" t="s">
        <v>362</v>
      </c>
      <c r="P98" s="19">
        <v>82.807361929999999</v>
      </c>
    </row>
    <row r="99" spans="1:16" x14ac:dyDescent="0.3">
      <c r="A99" s="17" t="s">
        <v>357</v>
      </c>
      <c r="B99" s="19" t="s">
        <v>186</v>
      </c>
      <c r="C99" s="19">
        <v>1.526</v>
      </c>
      <c r="D99" s="19"/>
      <c r="E99" s="19" t="s">
        <v>265</v>
      </c>
      <c r="F99" s="19">
        <v>41</v>
      </c>
      <c r="G99" s="19">
        <v>2.2999999999999998</v>
      </c>
      <c r="H99" s="19">
        <v>185</v>
      </c>
      <c r="I99" s="19">
        <v>94.5</v>
      </c>
      <c r="J99" s="19">
        <v>67.5</v>
      </c>
      <c r="K99" s="19">
        <v>157.30000000000001</v>
      </c>
      <c r="L99" s="19">
        <v>2.9750000000000001</v>
      </c>
      <c r="M99" s="19">
        <v>14</v>
      </c>
      <c r="N99" s="19">
        <v>27</v>
      </c>
      <c r="O99" s="19" t="s">
        <v>363</v>
      </c>
      <c r="P99" s="19">
        <v>81.848969240000002</v>
      </c>
    </row>
    <row r="100" spans="1:16" x14ac:dyDescent="0.3">
      <c r="A100" s="17" t="s">
        <v>357</v>
      </c>
      <c r="B100" s="19" t="s">
        <v>187</v>
      </c>
      <c r="C100" s="19">
        <v>11.592000000000001</v>
      </c>
      <c r="D100" s="19"/>
      <c r="E100" s="19" t="s">
        <v>265</v>
      </c>
      <c r="F100" s="19">
        <v>41.6</v>
      </c>
      <c r="G100" s="19">
        <v>3.2</v>
      </c>
      <c r="H100" s="19">
        <v>215</v>
      </c>
      <c r="I100" s="19">
        <v>105.9</v>
      </c>
      <c r="J100" s="19">
        <v>67.8</v>
      </c>
      <c r="K100" s="19">
        <v>180.3</v>
      </c>
      <c r="L100" s="19">
        <v>3.2130000000000001</v>
      </c>
      <c r="M100" s="19">
        <v>16.399999999999999</v>
      </c>
      <c r="N100" s="19">
        <v>26</v>
      </c>
      <c r="O100" s="19" t="s">
        <v>364</v>
      </c>
      <c r="P100" s="19">
        <v>92.925791770000004</v>
      </c>
    </row>
    <row r="101" spans="1:16" x14ac:dyDescent="0.3">
      <c r="A101" s="17" t="s">
        <v>357</v>
      </c>
      <c r="B101" s="19" t="s">
        <v>188</v>
      </c>
      <c r="C101" s="19">
        <v>0.95399999999999996</v>
      </c>
      <c r="D101" s="19"/>
      <c r="E101" s="19" t="s">
        <v>265</v>
      </c>
      <c r="F101" s="19">
        <v>85.5</v>
      </c>
      <c r="G101" s="19">
        <v>5</v>
      </c>
      <c r="H101" s="19">
        <v>302</v>
      </c>
      <c r="I101" s="19">
        <v>113.6</v>
      </c>
      <c r="J101" s="19">
        <v>73.099999999999994</v>
      </c>
      <c r="K101" s="19">
        <v>196.6</v>
      </c>
      <c r="L101" s="19">
        <v>4.1150000000000002</v>
      </c>
      <c r="M101" s="19">
        <v>23.2</v>
      </c>
      <c r="N101" s="19">
        <v>20</v>
      </c>
      <c r="O101" s="19" t="s">
        <v>365</v>
      </c>
      <c r="P101" s="19">
        <v>141.10098450000001</v>
      </c>
    </row>
    <row r="102" spans="1:16" x14ac:dyDescent="0.3">
      <c r="A102" s="17" t="s">
        <v>357</v>
      </c>
      <c r="B102" s="19" t="s">
        <v>189</v>
      </c>
      <c r="C102" s="19">
        <v>28.975999999999999</v>
      </c>
      <c r="D102" s="19"/>
      <c r="E102" s="19" t="s">
        <v>284</v>
      </c>
      <c r="F102" s="19">
        <v>35.299999999999997</v>
      </c>
      <c r="G102" s="19">
        <v>3.2</v>
      </c>
      <c r="H102" s="19">
        <v>215</v>
      </c>
      <c r="I102" s="19">
        <v>111</v>
      </c>
      <c r="J102" s="19">
        <v>72.2</v>
      </c>
      <c r="K102" s="19">
        <v>180.6</v>
      </c>
      <c r="L102" s="19">
        <v>4.3869999999999996</v>
      </c>
      <c r="M102" s="19">
        <v>19</v>
      </c>
      <c r="N102" s="19">
        <v>20</v>
      </c>
      <c r="O102" s="19" t="s">
        <v>366</v>
      </c>
      <c r="P102" s="19">
        <v>90.495532130000001</v>
      </c>
    </row>
    <row r="103" spans="1:16" x14ac:dyDescent="0.3">
      <c r="A103" s="17" t="s">
        <v>41</v>
      </c>
      <c r="B103" s="19" t="s">
        <v>190</v>
      </c>
      <c r="C103" s="19">
        <v>42.643000000000001</v>
      </c>
      <c r="D103" s="19">
        <v>8.4499999999999993</v>
      </c>
      <c r="E103" s="19" t="s">
        <v>265</v>
      </c>
      <c r="F103" s="19">
        <v>13.499000000000001</v>
      </c>
      <c r="G103" s="19">
        <v>1.8</v>
      </c>
      <c r="H103" s="19">
        <v>126</v>
      </c>
      <c r="I103" s="19">
        <v>99.8</v>
      </c>
      <c r="J103" s="19">
        <v>67.3</v>
      </c>
      <c r="K103" s="19">
        <v>177.5</v>
      </c>
      <c r="L103" s="19">
        <v>2.593</v>
      </c>
      <c r="M103" s="19">
        <v>13.2</v>
      </c>
      <c r="N103" s="19">
        <v>30</v>
      </c>
      <c r="O103" s="19" t="s">
        <v>367</v>
      </c>
      <c r="P103" s="19">
        <v>50.241977910000003</v>
      </c>
    </row>
    <row r="104" spans="1:16" x14ac:dyDescent="0.3">
      <c r="A104" s="17" t="s">
        <v>41</v>
      </c>
      <c r="B104" s="19" t="s">
        <v>191</v>
      </c>
      <c r="C104" s="19">
        <v>88.093999999999994</v>
      </c>
      <c r="D104" s="19">
        <v>11.295</v>
      </c>
      <c r="E104" s="19" t="s">
        <v>265</v>
      </c>
      <c r="F104" s="19">
        <v>20.39</v>
      </c>
      <c r="G104" s="19">
        <v>2.4</v>
      </c>
      <c r="H104" s="19">
        <v>155</v>
      </c>
      <c r="I104" s="19">
        <v>103.1</v>
      </c>
      <c r="J104" s="19">
        <v>69.099999999999994</v>
      </c>
      <c r="K104" s="19">
        <v>183.5</v>
      </c>
      <c r="L104" s="19">
        <v>3.012</v>
      </c>
      <c r="M104" s="19">
        <v>15.9</v>
      </c>
      <c r="N104" s="19">
        <v>25</v>
      </c>
      <c r="O104" s="19" t="s">
        <v>368</v>
      </c>
      <c r="P104" s="19">
        <v>63.313727829999998</v>
      </c>
    </row>
    <row r="105" spans="1:16" x14ac:dyDescent="0.3">
      <c r="A105" s="17" t="s">
        <v>41</v>
      </c>
      <c r="B105" s="19" t="s">
        <v>192</v>
      </c>
      <c r="C105" s="19">
        <v>79.852999999999994</v>
      </c>
      <c r="D105" s="19">
        <v>15.125</v>
      </c>
      <c r="E105" s="19" t="s">
        <v>265</v>
      </c>
      <c r="F105" s="19">
        <v>26.248999999999999</v>
      </c>
      <c r="G105" s="19">
        <v>3</v>
      </c>
      <c r="H105" s="19">
        <v>222</v>
      </c>
      <c r="I105" s="19">
        <v>108.3</v>
      </c>
      <c r="J105" s="19">
        <v>70.3</v>
      </c>
      <c r="K105" s="19">
        <v>190.5</v>
      </c>
      <c r="L105" s="19">
        <v>3.294</v>
      </c>
      <c r="M105" s="19">
        <v>18.5</v>
      </c>
      <c r="N105" s="19">
        <v>25</v>
      </c>
      <c r="O105" s="19" t="s">
        <v>369</v>
      </c>
      <c r="P105" s="19">
        <v>89.427820310000001</v>
      </c>
    </row>
    <row r="106" spans="1:16" x14ac:dyDescent="0.3">
      <c r="A106" s="17" t="s">
        <v>41</v>
      </c>
      <c r="B106" s="19" t="s">
        <v>193</v>
      </c>
      <c r="C106" s="19">
        <v>27.308</v>
      </c>
      <c r="D106" s="19">
        <v>15.38</v>
      </c>
      <c r="E106" s="19" t="s">
        <v>284</v>
      </c>
      <c r="F106" s="19">
        <v>26.399000000000001</v>
      </c>
      <c r="G106" s="19">
        <v>3.3</v>
      </c>
      <c r="H106" s="19">
        <v>170</v>
      </c>
      <c r="I106" s="19">
        <v>112.2</v>
      </c>
      <c r="J106" s="19">
        <v>74.900000000000006</v>
      </c>
      <c r="K106" s="19">
        <v>194.8</v>
      </c>
      <c r="L106" s="19">
        <v>3.9910000000000001</v>
      </c>
      <c r="M106" s="19">
        <v>20</v>
      </c>
      <c r="N106" s="19">
        <v>21</v>
      </c>
      <c r="O106" s="19" t="s">
        <v>370</v>
      </c>
      <c r="P106" s="19">
        <v>71.171664129999996</v>
      </c>
    </row>
    <row r="107" spans="1:16" x14ac:dyDescent="0.3">
      <c r="A107" s="17" t="s">
        <v>41</v>
      </c>
      <c r="B107" s="19" t="s">
        <v>194</v>
      </c>
      <c r="C107" s="19">
        <v>42.573999999999998</v>
      </c>
      <c r="D107" s="19">
        <v>17.809999999999999</v>
      </c>
      <c r="E107" s="19" t="s">
        <v>284</v>
      </c>
      <c r="F107" s="19">
        <v>29.298999999999999</v>
      </c>
      <c r="G107" s="19">
        <v>3.3</v>
      </c>
      <c r="H107" s="19">
        <v>170</v>
      </c>
      <c r="I107" s="19">
        <v>106.3</v>
      </c>
      <c r="J107" s="19">
        <v>71.7</v>
      </c>
      <c r="K107" s="19">
        <v>182.6</v>
      </c>
      <c r="L107" s="19">
        <v>3.9470000000000001</v>
      </c>
      <c r="M107" s="19">
        <v>21</v>
      </c>
      <c r="N107" s="19">
        <v>19</v>
      </c>
      <c r="O107" s="19" t="s">
        <v>371</v>
      </c>
      <c r="P107" s="19">
        <v>72.290355079999998</v>
      </c>
    </row>
    <row r="108" spans="1:16" x14ac:dyDescent="0.3">
      <c r="A108" s="17" t="s">
        <v>41</v>
      </c>
      <c r="B108" s="19" t="s">
        <v>195</v>
      </c>
      <c r="C108" s="19">
        <v>54.158000000000001</v>
      </c>
      <c r="D108" s="19"/>
      <c r="E108" s="19" t="s">
        <v>284</v>
      </c>
      <c r="F108" s="19">
        <v>22.798999999999999</v>
      </c>
      <c r="G108" s="19">
        <v>3.3</v>
      </c>
      <c r="H108" s="19">
        <v>170</v>
      </c>
      <c r="I108" s="19">
        <v>104.3</v>
      </c>
      <c r="J108" s="19">
        <v>70.400000000000006</v>
      </c>
      <c r="K108" s="19">
        <v>178</v>
      </c>
      <c r="L108" s="19">
        <v>3.8210000000000002</v>
      </c>
      <c r="M108" s="19">
        <v>19.399999999999999</v>
      </c>
      <c r="N108" s="19">
        <v>18</v>
      </c>
      <c r="O108" s="19" t="s">
        <v>372</v>
      </c>
      <c r="P108" s="19">
        <v>69.78294434</v>
      </c>
    </row>
    <row r="109" spans="1:16" x14ac:dyDescent="0.3">
      <c r="A109" s="17" t="s">
        <v>41</v>
      </c>
      <c r="B109" s="19" t="s">
        <v>196</v>
      </c>
      <c r="C109" s="19">
        <v>65.004999999999995</v>
      </c>
      <c r="D109" s="19"/>
      <c r="E109" s="19" t="s">
        <v>284</v>
      </c>
      <c r="F109" s="19">
        <v>17.89</v>
      </c>
      <c r="G109" s="19">
        <v>3.3</v>
      </c>
      <c r="H109" s="19">
        <v>170</v>
      </c>
      <c r="I109" s="19">
        <v>116.1</v>
      </c>
      <c r="J109" s="19">
        <v>66.5</v>
      </c>
      <c r="K109" s="19">
        <v>196.1</v>
      </c>
      <c r="L109" s="19">
        <v>3.2170000000000001</v>
      </c>
      <c r="M109" s="19">
        <v>19.399999999999999</v>
      </c>
      <c r="N109" s="19">
        <v>18</v>
      </c>
      <c r="O109" s="19" t="s">
        <v>373</v>
      </c>
      <c r="P109" s="19">
        <v>67.889270589999995</v>
      </c>
    </row>
    <row r="110" spans="1:16" x14ac:dyDescent="0.3">
      <c r="A110" s="17" t="s">
        <v>42</v>
      </c>
      <c r="B110" s="19" t="s">
        <v>197</v>
      </c>
      <c r="C110" s="19">
        <v>1.1120000000000001</v>
      </c>
      <c r="D110" s="19">
        <v>11.24</v>
      </c>
      <c r="E110" s="19" t="s">
        <v>265</v>
      </c>
      <c r="F110" s="19">
        <v>18.145</v>
      </c>
      <c r="G110" s="19">
        <v>3.1</v>
      </c>
      <c r="H110" s="19">
        <v>150</v>
      </c>
      <c r="I110" s="19">
        <v>107</v>
      </c>
      <c r="J110" s="19">
        <v>69.400000000000006</v>
      </c>
      <c r="K110" s="19">
        <v>192</v>
      </c>
      <c r="L110" s="19">
        <v>3.1019999999999999</v>
      </c>
      <c r="M110" s="19">
        <v>15.2</v>
      </c>
      <c r="N110" s="19">
        <v>25</v>
      </c>
      <c r="O110" s="19" t="s">
        <v>374</v>
      </c>
      <c r="P110" s="19">
        <v>60.861611549999999</v>
      </c>
    </row>
    <row r="111" spans="1:16" x14ac:dyDescent="0.3">
      <c r="A111" s="17" t="s">
        <v>42</v>
      </c>
      <c r="B111" s="19" t="s">
        <v>198</v>
      </c>
      <c r="C111" s="19">
        <v>38.554000000000002</v>
      </c>
      <c r="D111" s="19"/>
      <c r="E111" s="19" t="s">
        <v>265</v>
      </c>
      <c r="F111" s="19">
        <v>24.15</v>
      </c>
      <c r="G111" s="19">
        <v>3.5</v>
      </c>
      <c r="H111" s="19">
        <v>215</v>
      </c>
      <c r="I111" s="19">
        <v>109</v>
      </c>
      <c r="J111" s="19">
        <v>73.599999999999994</v>
      </c>
      <c r="K111" s="19">
        <v>195.9</v>
      </c>
      <c r="L111" s="19">
        <v>3.4550000000000001</v>
      </c>
      <c r="M111" s="19">
        <v>18</v>
      </c>
      <c r="N111" s="19"/>
      <c r="O111" s="19" t="s">
        <v>375</v>
      </c>
      <c r="P111" s="19">
        <v>86.272522910000006</v>
      </c>
    </row>
    <row r="112" spans="1:16" x14ac:dyDescent="0.3">
      <c r="A112" s="17" t="s">
        <v>42</v>
      </c>
      <c r="B112" s="19" t="s">
        <v>199</v>
      </c>
      <c r="C112" s="19">
        <v>80.254999999999995</v>
      </c>
      <c r="D112" s="19"/>
      <c r="E112" s="19" t="s">
        <v>265</v>
      </c>
      <c r="F112" s="19">
        <v>18.27</v>
      </c>
      <c r="G112" s="19">
        <v>2.4</v>
      </c>
      <c r="H112" s="19">
        <v>150</v>
      </c>
      <c r="I112" s="19">
        <v>107</v>
      </c>
      <c r="J112" s="19">
        <v>70.099999999999994</v>
      </c>
      <c r="K112" s="19">
        <v>186.7</v>
      </c>
      <c r="L112" s="19">
        <v>2.9580000000000002</v>
      </c>
      <c r="M112" s="19">
        <v>15</v>
      </c>
      <c r="N112" s="19">
        <v>27</v>
      </c>
      <c r="O112" s="19" t="s">
        <v>356</v>
      </c>
      <c r="P112" s="19">
        <v>60.727446929999999</v>
      </c>
    </row>
    <row r="113" spans="1:16" x14ac:dyDescent="0.3">
      <c r="A113" s="17" t="s">
        <v>42</v>
      </c>
      <c r="B113" s="19" t="s">
        <v>200</v>
      </c>
      <c r="C113" s="19">
        <v>14.69</v>
      </c>
      <c r="D113" s="19">
        <v>19.89</v>
      </c>
      <c r="E113" s="19" t="s">
        <v>265</v>
      </c>
      <c r="F113" s="19">
        <v>36.228999999999999</v>
      </c>
      <c r="G113" s="19">
        <v>4</v>
      </c>
      <c r="H113" s="19">
        <v>250</v>
      </c>
      <c r="I113" s="19">
        <v>113.8</v>
      </c>
      <c r="J113" s="19">
        <v>74.400000000000006</v>
      </c>
      <c r="K113" s="19">
        <v>205.4</v>
      </c>
      <c r="L113" s="19">
        <v>3.9670000000000001</v>
      </c>
      <c r="M113" s="19">
        <v>18.5</v>
      </c>
      <c r="N113" s="19">
        <v>22</v>
      </c>
      <c r="O113" s="19" t="s">
        <v>376</v>
      </c>
      <c r="P113" s="19">
        <v>103.4416926</v>
      </c>
    </row>
    <row r="114" spans="1:16" x14ac:dyDescent="0.3">
      <c r="A114" s="17" t="s">
        <v>42</v>
      </c>
      <c r="B114" s="19" t="s">
        <v>201</v>
      </c>
      <c r="C114" s="19">
        <v>20.016999999999999</v>
      </c>
      <c r="D114" s="19">
        <v>19.925000000000001</v>
      </c>
      <c r="E114" s="19" t="s">
        <v>284</v>
      </c>
      <c r="F114" s="19">
        <v>31.597999999999999</v>
      </c>
      <c r="G114" s="19">
        <v>4.3</v>
      </c>
      <c r="H114" s="19">
        <v>190</v>
      </c>
      <c r="I114" s="19">
        <v>107</v>
      </c>
      <c r="J114" s="19">
        <v>67.8</v>
      </c>
      <c r="K114" s="19">
        <v>181.2</v>
      </c>
      <c r="L114" s="19">
        <v>4.0679999999999996</v>
      </c>
      <c r="M114" s="19">
        <v>17.5</v>
      </c>
      <c r="N114" s="19">
        <v>19</v>
      </c>
      <c r="O114" s="19" t="s">
        <v>377</v>
      </c>
      <c r="P114" s="19">
        <v>80.511672590000003</v>
      </c>
    </row>
    <row r="115" spans="1:16" x14ac:dyDescent="0.3">
      <c r="A115" s="17" t="s">
        <v>42</v>
      </c>
      <c r="B115" s="19" t="s">
        <v>202</v>
      </c>
      <c r="C115" s="19">
        <v>24.361000000000001</v>
      </c>
      <c r="D115" s="19">
        <v>15.24</v>
      </c>
      <c r="E115" s="19" t="s">
        <v>284</v>
      </c>
      <c r="F115" s="19">
        <v>25.344999999999999</v>
      </c>
      <c r="G115" s="19">
        <v>3.4</v>
      </c>
      <c r="H115" s="19">
        <v>185</v>
      </c>
      <c r="I115" s="19">
        <v>120</v>
      </c>
      <c r="J115" s="19">
        <v>72.2</v>
      </c>
      <c r="K115" s="19">
        <v>201.4</v>
      </c>
      <c r="L115" s="19">
        <v>3.948</v>
      </c>
      <c r="M115" s="19">
        <v>25</v>
      </c>
      <c r="N115" s="19">
        <v>22</v>
      </c>
      <c r="O115" s="19" t="s">
        <v>378</v>
      </c>
      <c r="P115" s="19">
        <v>76.096570420000006</v>
      </c>
    </row>
    <row r="116" spans="1:16" x14ac:dyDescent="0.3">
      <c r="A116" s="17" t="s">
        <v>43</v>
      </c>
      <c r="B116" s="19" t="s">
        <v>124</v>
      </c>
      <c r="C116" s="19">
        <v>32.734000000000002</v>
      </c>
      <c r="D116" s="19">
        <v>7.75</v>
      </c>
      <c r="E116" s="19" t="s">
        <v>265</v>
      </c>
      <c r="F116" s="19">
        <v>12.64</v>
      </c>
      <c r="G116" s="19">
        <v>2</v>
      </c>
      <c r="H116" s="19">
        <v>132</v>
      </c>
      <c r="I116" s="19">
        <v>105</v>
      </c>
      <c r="J116" s="19">
        <v>74.400000000000006</v>
      </c>
      <c r="K116" s="19">
        <v>174.4</v>
      </c>
      <c r="L116" s="19">
        <v>2.5590000000000002</v>
      </c>
      <c r="M116" s="19">
        <v>12.5</v>
      </c>
      <c r="N116" s="19">
        <v>29</v>
      </c>
      <c r="O116" s="19" t="s">
        <v>379</v>
      </c>
      <c r="P116" s="19">
        <v>52.084898750000001</v>
      </c>
    </row>
    <row r="117" spans="1:16" x14ac:dyDescent="0.3">
      <c r="A117" s="17" t="s">
        <v>43</v>
      </c>
      <c r="B117" s="19" t="s">
        <v>203</v>
      </c>
      <c r="C117" s="19">
        <v>5.24</v>
      </c>
      <c r="D117" s="19">
        <v>9.8000000000000007</v>
      </c>
      <c r="E117" s="19" t="s">
        <v>265</v>
      </c>
      <c r="F117" s="19">
        <v>16.079999999999998</v>
      </c>
      <c r="G117" s="19">
        <v>2</v>
      </c>
      <c r="H117" s="19">
        <v>132</v>
      </c>
      <c r="I117" s="19">
        <v>108</v>
      </c>
      <c r="J117" s="19">
        <v>71</v>
      </c>
      <c r="K117" s="19">
        <v>186.3</v>
      </c>
      <c r="L117" s="19">
        <v>2.9420000000000002</v>
      </c>
      <c r="M117" s="19">
        <v>16</v>
      </c>
      <c r="N117" s="19">
        <v>27</v>
      </c>
      <c r="O117" s="19" t="s">
        <v>380</v>
      </c>
      <c r="P117" s="19">
        <v>53.411897670000002</v>
      </c>
    </row>
    <row r="118" spans="1:16" x14ac:dyDescent="0.3">
      <c r="A118" s="17" t="s">
        <v>43</v>
      </c>
      <c r="B118" s="19" t="s">
        <v>204</v>
      </c>
      <c r="C118" s="19">
        <v>24.155000000000001</v>
      </c>
      <c r="D118" s="19">
        <v>12.025</v>
      </c>
      <c r="E118" s="19" t="s">
        <v>284</v>
      </c>
      <c r="F118" s="19">
        <v>18.850000000000001</v>
      </c>
      <c r="G118" s="19">
        <v>2.4</v>
      </c>
      <c r="H118" s="19">
        <v>150</v>
      </c>
      <c r="I118" s="19">
        <v>113.3</v>
      </c>
      <c r="J118" s="19">
        <v>76.8</v>
      </c>
      <c r="K118" s="19">
        <v>186.3</v>
      </c>
      <c r="L118" s="19">
        <v>3.528</v>
      </c>
      <c r="M118" s="19">
        <v>20</v>
      </c>
      <c r="N118" s="19">
        <v>24</v>
      </c>
      <c r="O118" s="19" t="s">
        <v>358</v>
      </c>
      <c r="P118" s="19">
        <v>60.951185119999998</v>
      </c>
    </row>
    <row r="119" spans="1:16" x14ac:dyDescent="0.3">
      <c r="A119" s="17" t="s">
        <v>43</v>
      </c>
      <c r="B119" s="19" t="s">
        <v>205</v>
      </c>
      <c r="C119" s="19">
        <v>1.8720000000000001</v>
      </c>
      <c r="D119" s="19"/>
      <c r="E119" s="19" t="s">
        <v>265</v>
      </c>
      <c r="F119" s="19">
        <v>43</v>
      </c>
      <c r="G119" s="19">
        <v>3.5</v>
      </c>
      <c r="H119" s="19">
        <v>253</v>
      </c>
      <c r="I119" s="19">
        <v>113.3</v>
      </c>
      <c r="J119" s="19">
        <v>76.3</v>
      </c>
      <c r="K119" s="19">
        <v>165.4</v>
      </c>
      <c r="L119" s="19">
        <v>2.85</v>
      </c>
      <c r="M119" s="19">
        <v>12</v>
      </c>
      <c r="N119" s="19">
        <v>21</v>
      </c>
      <c r="O119" s="19" t="s">
        <v>311</v>
      </c>
      <c r="P119" s="19">
        <v>106.98445630000001</v>
      </c>
    </row>
    <row r="120" spans="1:16" x14ac:dyDescent="0.3">
      <c r="A120" s="17" t="s">
        <v>44</v>
      </c>
      <c r="B120" s="19" t="s">
        <v>206</v>
      </c>
      <c r="C120" s="19">
        <v>51.645000000000003</v>
      </c>
      <c r="D120" s="19">
        <v>13.79</v>
      </c>
      <c r="E120" s="19" t="s">
        <v>265</v>
      </c>
      <c r="F120" s="19">
        <v>21.61</v>
      </c>
      <c r="G120" s="19">
        <v>2.4</v>
      </c>
      <c r="H120" s="19">
        <v>150</v>
      </c>
      <c r="I120" s="19">
        <v>104.1</v>
      </c>
      <c r="J120" s="19">
        <v>68.400000000000006</v>
      </c>
      <c r="K120" s="19">
        <v>181.9</v>
      </c>
      <c r="L120" s="19">
        <v>2.9060000000000001</v>
      </c>
      <c r="M120" s="19">
        <v>15</v>
      </c>
      <c r="N120" s="19">
        <v>27</v>
      </c>
      <c r="O120" s="19" t="s">
        <v>381</v>
      </c>
      <c r="P120" s="19">
        <v>62.015870300000003</v>
      </c>
    </row>
    <row r="121" spans="1:16" x14ac:dyDescent="0.3">
      <c r="A121" s="17" t="s">
        <v>44</v>
      </c>
      <c r="B121" s="19" t="s">
        <v>207</v>
      </c>
      <c r="C121" s="19">
        <v>131.09700000000001</v>
      </c>
      <c r="D121" s="19">
        <v>10.29</v>
      </c>
      <c r="E121" s="19" t="s">
        <v>265</v>
      </c>
      <c r="F121" s="19">
        <v>19.72</v>
      </c>
      <c r="G121" s="19">
        <v>3.4</v>
      </c>
      <c r="H121" s="19">
        <v>175</v>
      </c>
      <c r="I121" s="19">
        <v>107</v>
      </c>
      <c r="J121" s="19">
        <v>70.400000000000006</v>
      </c>
      <c r="K121" s="19">
        <v>186.3</v>
      </c>
      <c r="L121" s="19">
        <v>3.0910000000000002</v>
      </c>
      <c r="M121" s="19">
        <v>15.2</v>
      </c>
      <c r="N121" s="19">
        <v>25</v>
      </c>
      <c r="O121" s="19" t="s">
        <v>382</v>
      </c>
      <c r="P121" s="19">
        <v>70.389737260000004</v>
      </c>
    </row>
    <row r="122" spans="1:16" x14ac:dyDescent="0.3">
      <c r="A122" s="17" t="s">
        <v>44</v>
      </c>
      <c r="B122" s="19" t="s">
        <v>208</v>
      </c>
      <c r="C122" s="19">
        <v>19.911000000000001</v>
      </c>
      <c r="D122" s="19">
        <v>17.805</v>
      </c>
      <c r="E122" s="19" t="s">
        <v>265</v>
      </c>
      <c r="F122" s="19">
        <v>25.31</v>
      </c>
      <c r="G122" s="19">
        <v>3.8</v>
      </c>
      <c r="H122" s="19">
        <v>200</v>
      </c>
      <c r="I122" s="19">
        <v>101.1</v>
      </c>
      <c r="J122" s="19">
        <v>74.5</v>
      </c>
      <c r="K122" s="19">
        <v>193.4</v>
      </c>
      <c r="L122" s="19">
        <v>3.492</v>
      </c>
      <c r="M122" s="19">
        <v>16.8</v>
      </c>
      <c r="N122" s="19">
        <v>25</v>
      </c>
      <c r="O122" s="19" t="s">
        <v>383</v>
      </c>
      <c r="P122" s="19">
        <v>81.492726160000004</v>
      </c>
    </row>
    <row r="123" spans="1:16" x14ac:dyDescent="0.3">
      <c r="A123" s="17" t="s">
        <v>44</v>
      </c>
      <c r="B123" s="19" t="s">
        <v>209</v>
      </c>
      <c r="C123" s="19">
        <v>92.364000000000004</v>
      </c>
      <c r="D123" s="19">
        <v>14.01</v>
      </c>
      <c r="E123" s="19" t="s">
        <v>265</v>
      </c>
      <c r="F123" s="19">
        <v>21.664999999999999</v>
      </c>
      <c r="G123" s="19">
        <v>3.8</v>
      </c>
      <c r="H123" s="19">
        <v>195</v>
      </c>
      <c r="I123" s="19">
        <v>110.5</v>
      </c>
      <c r="J123" s="19">
        <v>72.7</v>
      </c>
      <c r="K123" s="19">
        <v>196.5</v>
      </c>
      <c r="L123" s="19">
        <v>3.3959999999999999</v>
      </c>
      <c r="M123" s="19">
        <v>18</v>
      </c>
      <c r="N123" s="19">
        <v>25</v>
      </c>
      <c r="O123" s="19" t="s">
        <v>384</v>
      </c>
      <c r="P123" s="19">
        <v>78.318168130000004</v>
      </c>
    </row>
    <row r="124" spans="1:16" x14ac:dyDescent="0.3">
      <c r="A124" s="17" t="s">
        <v>44</v>
      </c>
      <c r="B124" s="19" t="s">
        <v>210</v>
      </c>
      <c r="C124" s="19">
        <v>35.945</v>
      </c>
      <c r="D124" s="19">
        <v>13.225</v>
      </c>
      <c r="E124" s="19" t="s">
        <v>265</v>
      </c>
      <c r="F124" s="19">
        <v>23.754999999999999</v>
      </c>
      <c r="G124" s="19">
        <v>3.8</v>
      </c>
      <c r="H124" s="19">
        <v>205</v>
      </c>
      <c r="I124" s="19">
        <v>112.2</v>
      </c>
      <c r="J124" s="19">
        <v>72.599999999999994</v>
      </c>
      <c r="K124" s="19">
        <v>202.5</v>
      </c>
      <c r="L124" s="19">
        <v>3.59</v>
      </c>
      <c r="M124" s="19">
        <v>17.5</v>
      </c>
      <c r="N124" s="19">
        <v>24</v>
      </c>
      <c r="O124" s="19" t="s">
        <v>385</v>
      </c>
      <c r="P124" s="19">
        <v>82.661355599999993</v>
      </c>
    </row>
    <row r="125" spans="1:16" x14ac:dyDescent="0.3">
      <c r="A125" s="17" t="s">
        <v>44</v>
      </c>
      <c r="B125" s="19" t="s">
        <v>211</v>
      </c>
      <c r="C125" s="19">
        <v>39.572000000000003</v>
      </c>
      <c r="D125" s="19"/>
      <c r="E125" s="19" t="s">
        <v>284</v>
      </c>
      <c r="F125" s="19">
        <v>25.635000000000002</v>
      </c>
      <c r="G125" s="19">
        <v>3.4</v>
      </c>
      <c r="H125" s="19">
        <v>185</v>
      </c>
      <c r="I125" s="19">
        <v>120</v>
      </c>
      <c r="J125" s="19">
        <v>72.7</v>
      </c>
      <c r="K125" s="19">
        <v>201.3</v>
      </c>
      <c r="L125" s="19">
        <v>3.9420000000000002</v>
      </c>
      <c r="M125" s="19">
        <v>25</v>
      </c>
      <c r="N125" s="19">
        <v>23</v>
      </c>
      <c r="O125" s="19" t="s">
        <v>317</v>
      </c>
      <c r="P125" s="19">
        <v>76.208439519999999</v>
      </c>
    </row>
    <row r="126" spans="1:16" x14ac:dyDescent="0.3">
      <c r="A126" s="17" t="s">
        <v>45</v>
      </c>
      <c r="B126" s="19" t="s">
        <v>212</v>
      </c>
      <c r="C126" s="19">
        <v>8.9819999999999993</v>
      </c>
      <c r="D126" s="19">
        <v>41.25</v>
      </c>
      <c r="E126" s="19" t="s">
        <v>265</v>
      </c>
      <c r="F126" s="19">
        <v>41.43</v>
      </c>
      <c r="G126" s="19">
        <v>2.7</v>
      </c>
      <c r="H126" s="19">
        <v>217</v>
      </c>
      <c r="I126" s="19">
        <v>95.2</v>
      </c>
      <c r="J126" s="19">
        <v>70.099999999999994</v>
      </c>
      <c r="K126" s="19">
        <v>171</v>
      </c>
      <c r="L126" s="19">
        <v>2.778</v>
      </c>
      <c r="M126" s="19">
        <v>17</v>
      </c>
      <c r="N126" s="19">
        <v>22</v>
      </c>
      <c r="O126" s="19" t="s">
        <v>386</v>
      </c>
      <c r="P126" s="19">
        <v>93.437330700000004</v>
      </c>
    </row>
    <row r="127" spans="1:16" x14ac:dyDescent="0.3">
      <c r="A127" s="17" t="s">
        <v>45</v>
      </c>
      <c r="B127" s="19" t="s">
        <v>213</v>
      </c>
      <c r="C127" s="19">
        <v>1.28</v>
      </c>
      <c r="D127" s="19">
        <v>60.625</v>
      </c>
      <c r="E127" s="19" t="s">
        <v>265</v>
      </c>
      <c r="F127" s="19">
        <v>71.02</v>
      </c>
      <c r="G127" s="19">
        <v>3.4</v>
      </c>
      <c r="H127" s="19">
        <v>300</v>
      </c>
      <c r="I127" s="19">
        <v>92.6</v>
      </c>
      <c r="J127" s="19">
        <v>69.5</v>
      </c>
      <c r="K127" s="19">
        <v>174.5</v>
      </c>
      <c r="L127" s="19">
        <v>3.032</v>
      </c>
      <c r="M127" s="19">
        <v>17</v>
      </c>
      <c r="N127" s="19">
        <v>21</v>
      </c>
      <c r="O127" s="19" t="s">
        <v>387</v>
      </c>
      <c r="P127" s="19">
        <v>134.3909754</v>
      </c>
    </row>
    <row r="128" spans="1:16" x14ac:dyDescent="0.3">
      <c r="A128" s="17" t="s">
        <v>45</v>
      </c>
      <c r="B128" s="19" t="s">
        <v>214</v>
      </c>
      <c r="C128" s="19">
        <v>1.8660000000000001</v>
      </c>
      <c r="D128" s="19">
        <v>67.55</v>
      </c>
      <c r="E128" s="19" t="s">
        <v>265</v>
      </c>
      <c r="F128" s="19">
        <v>74.97</v>
      </c>
      <c r="G128" s="19">
        <v>3.4</v>
      </c>
      <c r="H128" s="19">
        <v>300</v>
      </c>
      <c r="I128" s="19">
        <v>92.6</v>
      </c>
      <c r="J128" s="19">
        <v>69.5</v>
      </c>
      <c r="K128" s="19">
        <v>174.5</v>
      </c>
      <c r="L128" s="19">
        <v>3.0750000000000002</v>
      </c>
      <c r="M128" s="19">
        <v>17</v>
      </c>
      <c r="N128" s="19">
        <v>23</v>
      </c>
      <c r="O128" s="19" t="s">
        <v>388</v>
      </c>
      <c r="P128" s="19">
        <v>135.91470960000001</v>
      </c>
    </row>
    <row r="129" spans="1:16" x14ac:dyDescent="0.3">
      <c r="A129" s="17" t="s">
        <v>46</v>
      </c>
      <c r="B129" s="19" t="s">
        <v>389</v>
      </c>
      <c r="C129" s="19">
        <v>9.1910000000000007</v>
      </c>
      <c r="D129" s="19"/>
      <c r="E129" s="19" t="s">
        <v>265</v>
      </c>
      <c r="F129" s="19">
        <v>33.119999999999997</v>
      </c>
      <c r="G129" s="19">
        <v>2.2999999999999998</v>
      </c>
      <c r="H129" s="19">
        <v>170</v>
      </c>
      <c r="I129" s="19">
        <v>106.4</v>
      </c>
      <c r="J129" s="19">
        <v>70.599999999999994</v>
      </c>
      <c r="K129" s="19">
        <v>189.2</v>
      </c>
      <c r="L129" s="19">
        <v>3.28</v>
      </c>
      <c r="M129" s="19">
        <v>18.5</v>
      </c>
      <c r="N129" s="19">
        <v>23</v>
      </c>
      <c r="O129" s="19" t="s">
        <v>390</v>
      </c>
      <c r="P129" s="19">
        <v>73.503778190000006</v>
      </c>
    </row>
    <row r="130" spans="1:16" x14ac:dyDescent="0.3">
      <c r="A130" s="17" t="s">
        <v>46</v>
      </c>
      <c r="B130" s="19" t="s">
        <v>391</v>
      </c>
      <c r="C130" s="19">
        <v>12.115</v>
      </c>
      <c r="D130" s="19"/>
      <c r="E130" s="19" t="s">
        <v>265</v>
      </c>
      <c r="F130" s="19">
        <v>26.1</v>
      </c>
      <c r="G130" s="19">
        <v>2</v>
      </c>
      <c r="H130" s="19">
        <v>185</v>
      </c>
      <c r="I130" s="19">
        <v>102.6</v>
      </c>
      <c r="J130" s="19">
        <v>67.400000000000006</v>
      </c>
      <c r="K130" s="19">
        <v>182.2</v>
      </c>
      <c r="L130" s="19">
        <v>2.99</v>
      </c>
      <c r="M130" s="19">
        <v>16.899999999999999</v>
      </c>
      <c r="N130" s="19">
        <v>23</v>
      </c>
      <c r="O130" s="19" t="s">
        <v>392</v>
      </c>
      <c r="P130" s="19">
        <v>76.02304771</v>
      </c>
    </row>
    <row r="131" spans="1:16" x14ac:dyDescent="0.3">
      <c r="A131" s="17" t="s">
        <v>47</v>
      </c>
      <c r="B131" s="19" t="s">
        <v>217</v>
      </c>
      <c r="C131" s="19">
        <v>80.62</v>
      </c>
      <c r="D131" s="19">
        <v>9.1999999999999993</v>
      </c>
      <c r="E131" s="19" t="s">
        <v>265</v>
      </c>
      <c r="F131" s="19">
        <v>10.685</v>
      </c>
      <c r="G131" s="19">
        <v>1.9</v>
      </c>
      <c r="H131" s="19">
        <v>100</v>
      </c>
      <c r="I131" s="19">
        <v>102.4</v>
      </c>
      <c r="J131" s="19">
        <v>66.400000000000006</v>
      </c>
      <c r="K131" s="19">
        <v>176.9</v>
      </c>
      <c r="L131" s="19">
        <v>2.3319999999999999</v>
      </c>
      <c r="M131" s="19">
        <v>12.1</v>
      </c>
      <c r="N131" s="19">
        <v>33</v>
      </c>
      <c r="O131" s="19" t="s">
        <v>323</v>
      </c>
      <c r="P131" s="19">
        <v>39.986424749999998</v>
      </c>
    </row>
    <row r="132" spans="1:16" x14ac:dyDescent="0.3">
      <c r="A132" s="17" t="s">
        <v>47</v>
      </c>
      <c r="B132" s="19" t="s">
        <v>218</v>
      </c>
      <c r="C132" s="19">
        <v>24.545999999999999</v>
      </c>
      <c r="D132" s="19">
        <v>10.59</v>
      </c>
      <c r="E132" s="19" t="s">
        <v>265</v>
      </c>
      <c r="F132" s="19">
        <v>12.535</v>
      </c>
      <c r="G132" s="19">
        <v>1.9</v>
      </c>
      <c r="H132" s="19">
        <v>100</v>
      </c>
      <c r="I132" s="19">
        <v>102.4</v>
      </c>
      <c r="J132" s="19">
        <v>66.400000000000006</v>
      </c>
      <c r="K132" s="19">
        <v>180</v>
      </c>
      <c r="L132" s="19">
        <v>2.367</v>
      </c>
      <c r="M132" s="19">
        <v>12.1</v>
      </c>
      <c r="N132" s="19">
        <v>33</v>
      </c>
      <c r="O132" s="19" t="s">
        <v>393</v>
      </c>
      <c r="P132" s="19">
        <v>40.700072419999998</v>
      </c>
    </row>
    <row r="133" spans="1:16" x14ac:dyDescent="0.3">
      <c r="A133" s="17" t="s">
        <v>47</v>
      </c>
      <c r="B133" s="19" t="s">
        <v>219</v>
      </c>
      <c r="C133" s="19">
        <v>5.2229999999999999</v>
      </c>
      <c r="D133" s="19">
        <v>10.79</v>
      </c>
      <c r="E133" s="19" t="s">
        <v>265</v>
      </c>
      <c r="F133" s="19">
        <v>14.29</v>
      </c>
      <c r="G133" s="19">
        <v>1.9</v>
      </c>
      <c r="H133" s="19">
        <v>124</v>
      </c>
      <c r="I133" s="19">
        <v>102.4</v>
      </c>
      <c r="J133" s="19">
        <v>66.400000000000006</v>
      </c>
      <c r="K133" s="19">
        <v>176.9</v>
      </c>
      <c r="L133" s="19">
        <v>2.452</v>
      </c>
      <c r="M133" s="19">
        <v>12.1</v>
      </c>
      <c r="N133" s="19">
        <v>31</v>
      </c>
      <c r="O133" s="19" t="s">
        <v>394</v>
      </c>
      <c r="P133" s="19">
        <v>49.865773670000003</v>
      </c>
    </row>
    <row r="134" spans="1:16" x14ac:dyDescent="0.3">
      <c r="A134" s="17" t="s">
        <v>47</v>
      </c>
      <c r="B134" s="19" t="s">
        <v>220</v>
      </c>
      <c r="C134" s="19">
        <v>8.4719999999999995</v>
      </c>
      <c r="D134" s="19"/>
      <c r="E134" s="19" t="s">
        <v>265</v>
      </c>
      <c r="F134" s="19">
        <v>18.835000000000001</v>
      </c>
      <c r="G134" s="19">
        <v>2.2000000000000002</v>
      </c>
      <c r="H134" s="19">
        <v>137</v>
      </c>
      <c r="I134" s="19">
        <v>106.5</v>
      </c>
      <c r="J134" s="19">
        <v>69</v>
      </c>
      <c r="K134" s="19">
        <v>190.4</v>
      </c>
      <c r="L134" s="19">
        <v>3.0750000000000002</v>
      </c>
      <c r="M134" s="19">
        <v>13.1</v>
      </c>
      <c r="N134" s="19">
        <v>27</v>
      </c>
      <c r="O134" s="19" t="s">
        <v>395</v>
      </c>
      <c r="P134" s="19">
        <v>56.295243040000003</v>
      </c>
    </row>
    <row r="135" spans="1:16" x14ac:dyDescent="0.3">
      <c r="A135" s="17" t="s">
        <v>47</v>
      </c>
      <c r="B135" s="19" t="s">
        <v>221</v>
      </c>
      <c r="C135" s="19">
        <v>49.988999999999997</v>
      </c>
      <c r="D135" s="19"/>
      <c r="E135" s="19" t="s">
        <v>265</v>
      </c>
      <c r="F135" s="19">
        <v>15.01</v>
      </c>
      <c r="G135" s="19">
        <v>2.2000000000000002</v>
      </c>
      <c r="H135" s="19">
        <v>137</v>
      </c>
      <c r="I135" s="19">
        <v>106.5</v>
      </c>
      <c r="J135" s="19">
        <v>69</v>
      </c>
      <c r="K135" s="19">
        <v>190.4</v>
      </c>
      <c r="L135" s="19">
        <v>2.91</v>
      </c>
      <c r="M135" s="19">
        <v>13.1</v>
      </c>
      <c r="N135" s="19">
        <v>28</v>
      </c>
      <c r="O135" s="19" t="s">
        <v>396</v>
      </c>
      <c r="P135" s="19">
        <v>54.819728249999997</v>
      </c>
    </row>
    <row r="136" spans="1:16" x14ac:dyDescent="0.3">
      <c r="A136" s="17" t="s">
        <v>48</v>
      </c>
      <c r="B136" s="19" t="s">
        <v>222</v>
      </c>
      <c r="C136" s="19">
        <v>47.106999999999999</v>
      </c>
      <c r="D136" s="19"/>
      <c r="E136" s="19" t="s">
        <v>265</v>
      </c>
      <c r="F136" s="19">
        <v>22.695</v>
      </c>
      <c r="G136" s="19">
        <v>2.5</v>
      </c>
      <c r="H136" s="19">
        <v>165</v>
      </c>
      <c r="I136" s="19">
        <v>103.5</v>
      </c>
      <c r="J136" s="19">
        <v>67.5</v>
      </c>
      <c r="K136" s="19">
        <v>185.8</v>
      </c>
      <c r="L136" s="19">
        <v>3.415</v>
      </c>
      <c r="M136" s="19">
        <v>16.899999999999999</v>
      </c>
      <c r="N136" s="19">
        <v>25</v>
      </c>
      <c r="O136" s="19" t="s">
        <v>397</v>
      </c>
      <c r="P136" s="19">
        <v>67.765907600000006</v>
      </c>
    </row>
    <row r="137" spans="1:16" x14ac:dyDescent="0.3">
      <c r="A137" s="17" t="s">
        <v>48</v>
      </c>
      <c r="B137" s="19" t="s">
        <v>223</v>
      </c>
      <c r="C137" s="19">
        <v>33.027999999999999</v>
      </c>
      <c r="D137" s="19"/>
      <c r="E137" s="19" t="s">
        <v>284</v>
      </c>
      <c r="F137" s="19">
        <v>20.094999999999999</v>
      </c>
      <c r="G137" s="19">
        <v>2.5</v>
      </c>
      <c r="H137" s="19">
        <v>165</v>
      </c>
      <c r="I137" s="19">
        <v>99.4</v>
      </c>
      <c r="J137" s="19">
        <v>68.3</v>
      </c>
      <c r="K137" s="19">
        <v>175.2</v>
      </c>
      <c r="L137" s="19">
        <v>3.125</v>
      </c>
      <c r="M137" s="19">
        <v>15.9</v>
      </c>
      <c r="N137" s="19">
        <v>24</v>
      </c>
      <c r="O137" s="19" t="s">
        <v>329</v>
      </c>
      <c r="P137" s="19">
        <v>66.762943309999997</v>
      </c>
    </row>
    <row r="138" spans="1:16" x14ac:dyDescent="0.3">
      <c r="A138" s="17" t="s">
        <v>49</v>
      </c>
      <c r="B138" s="19" t="s">
        <v>224</v>
      </c>
      <c r="C138" s="19">
        <v>142.535</v>
      </c>
      <c r="D138" s="19">
        <v>10.025</v>
      </c>
      <c r="E138" s="19" t="s">
        <v>265</v>
      </c>
      <c r="F138" s="19">
        <v>13.108000000000001</v>
      </c>
      <c r="G138" s="19">
        <v>1.8</v>
      </c>
      <c r="H138" s="19">
        <v>120</v>
      </c>
      <c r="I138" s="19">
        <v>97</v>
      </c>
      <c r="J138" s="19">
        <v>66.7</v>
      </c>
      <c r="K138" s="19">
        <v>174</v>
      </c>
      <c r="L138" s="19">
        <v>2.42</v>
      </c>
      <c r="M138" s="19">
        <v>13.2</v>
      </c>
      <c r="N138" s="19">
        <v>33</v>
      </c>
      <c r="O138" s="19" t="s">
        <v>365</v>
      </c>
      <c r="P138" s="19">
        <v>47.96897242</v>
      </c>
    </row>
    <row r="139" spans="1:16" x14ac:dyDescent="0.3">
      <c r="A139" s="17" t="s">
        <v>49</v>
      </c>
      <c r="B139" s="19" t="s">
        <v>225</v>
      </c>
      <c r="C139" s="19">
        <v>247.994</v>
      </c>
      <c r="D139" s="19">
        <v>13.244999999999999</v>
      </c>
      <c r="E139" s="19" t="s">
        <v>265</v>
      </c>
      <c r="F139" s="19">
        <v>17.518000000000001</v>
      </c>
      <c r="G139" s="19">
        <v>2.2000000000000002</v>
      </c>
      <c r="H139" s="19">
        <v>133</v>
      </c>
      <c r="I139" s="19">
        <v>105.2</v>
      </c>
      <c r="J139" s="19">
        <v>70.099999999999994</v>
      </c>
      <c r="K139" s="19">
        <v>188.5</v>
      </c>
      <c r="L139" s="19">
        <v>2.9980000000000002</v>
      </c>
      <c r="M139" s="19">
        <v>18.5</v>
      </c>
      <c r="N139" s="19">
        <v>27</v>
      </c>
      <c r="O139" s="19" t="s">
        <v>366</v>
      </c>
      <c r="P139" s="19">
        <v>54.372419649999998</v>
      </c>
    </row>
    <row r="140" spans="1:16" x14ac:dyDescent="0.3">
      <c r="A140" s="17" t="s">
        <v>49</v>
      </c>
      <c r="B140" s="19" t="s">
        <v>226</v>
      </c>
      <c r="C140" s="19">
        <v>63.848999999999997</v>
      </c>
      <c r="D140" s="19">
        <v>18.14</v>
      </c>
      <c r="E140" s="19" t="s">
        <v>265</v>
      </c>
      <c r="F140" s="19">
        <v>25.545000000000002</v>
      </c>
      <c r="G140" s="19">
        <v>3</v>
      </c>
      <c r="H140" s="19">
        <v>210</v>
      </c>
      <c r="I140" s="19">
        <v>107.1</v>
      </c>
      <c r="J140" s="19">
        <v>71.7</v>
      </c>
      <c r="K140" s="19">
        <v>191.9</v>
      </c>
      <c r="L140" s="19">
        <v>3.4169999999999998</v>
      </c>
      <c r="M140" s="19">
        <v>18.5</v>
      </c>
      <c r="N140" s="19">
        <v>26</v>
      </c>
      <c r="O140" s="19" t="s">
        <v>367</v>
      </c>
      <c r="P140" s="19">
        <v>84.911898260000001</v>
      </c>
    </row>
    <row r="141" spans="1:16" x14ac:dyDescent="0.3">
      <c r="A141" s="17" t="s">
        <v>49</v>
      </c>
      <c r="B141" s="19" t="s">
        <v>227</v>
      </c>
      <c r="C141" s="19">
        <v>33.268999999999998</v>
      </c>
      <c r="D141" s="19">
        <v>15.445</v>
      </c>
      <c r="E141" s="19" t="s">
        <v>265</v>
      </c>
      <c r="F141" s="19">
        <v>16.875</v>
      </c>
      <c r="G141" s="19">
        <v>1.8</v>
      </c>
      <c r="H141" s="19">
        <v>140</v>
      </c>
      <c r="I141" s="19">
        <v>102.4</v>
      </c>
      <c r="J141" s="19">
        <v>68.3</v>
      </c>
      <c r="K141" s="19">
        <v>170.5</v>
      </c>
      <c r="L141" s="19">
        <v>2.4249999999999998</v>
      </c>
      <c r="M141" s="19">
        <v>14.5</v>
      </c>
      <c r="N141" s="19">
        <v>31</v>
      </c>
      <c r="O141" s="19" t="s">
        <v>398</v>
      </c>
      <c r="P141" s="19">
        <v>56.496030339999997</v>
      </c>
    </row>
    <row r="142" spans="1:16" x14ac:dyDescent="0.3">
      <c r="A142" s="17" t="s">
        <v>49</v>
      </c>
      <c r="B142" s="19" t="s">
        <v>228</v>
      </c>
      <c r="C142" s="19">
        <v>84.087000000000003</v>
      </c>
      <c r="D142" s="19">
        <v>9.5749999999999993</v>
      </c>
      <c r="E142" s="19" t="s">
        <v>284</v>
      </c>
      <c r="F142" s="19">
        <v>11.528</v>
      </c>
      <c r="G142" s="19">
        <v>2.4</v>
      </c>
      <c r="H142" s="19">
        <v>142</v>
      </c>
      <c r="I142" s="19">
        <v>103.3</v>
      </c>
      <c r="J142" s="19">
        <v>66.5</v>
      </c>
      <c r="K142" s="19">
        <v>178.7</v>
      </c>
      <c r="L142" s="19">
        <v>2.58</v>
      </c>
      <c r="M142" s="19">
        <v>15.1</v>
      </c>
      <c r="N142" s="19">
        <v>23</v>
      </c>
      <c r="O142" s="19" t="s">
        <v>399</v>
      </c>
      <c r="P142" s="19">
        <v>55.297116580000001</v>
      </c>
    </row>
    <row r="143" spans="1:16" x14ac:dyDescent="0.3">
      <c r="A143" s="17" t="s">
        <v>49</v>
      </c>
      <c r="B143" s="19" t="s">
        <v>229</v>
      </c>
      <c r="C143" s="19">
        <v>65.119</v>
      </c>
      <c r="D143" s="19"/>
      <c r="E143" s="19" t="s">
        <v>284</v>
      </c>
      <c r="F143" s="19">
        <v>22.367999999999999</v>
      </c>
      <c r="G143" s="19">
        <v>3</v>
      </c>
      <c r="H143" s="19">
        <v>194</v>
      </c>
      <c r="I143" s="19">
        <v>114.2</v>
      </c>
      <c r="J143" s="19">
        <v>73.400000000000006</v>
      </c>
      <c r="K143" s="19">
        <v>193.5</v>
      </c>
      <c r="L143" s="19">
        <v>3.7589999999999999</v>
      </c>
      <c r="M143" s="19">
        <v>20.9</v>
      </c>
      <c r="N143" s="19">
        <v>22</v>
      </c>
      <c r="O143" s="19" t="s">
        <v>335</v>
      </c>
      <c r="P143" s="19">
        <v>78.027219470000006</v>
      </c>
    </row>
    <row r="144" spans="1:16" x14ac:dyDescent="0.3">
      <c r="A144" s="17" t="s">
        <v>49</v>
      </c>
      <c r="B144" s="19" t="s">
        <v>230</v>
      </c>
      <c r="C144" s="19">
        <v>25.106000000000002</v>
      </c>
      <c r="D144" s="19">
        <v>13.324999999999999</v>
      </c>
      <c r="E144" s="19" t="s">
        <v>284</v>
      </c>
      <c r="F144" s="19">
        <v>16.888000000000002</v>
      </c>
      <c r="G144" s="19">
        <v>2</v>
      </c>
      <c r="H144" s="19">
        <v>127</v>
      </c>
      <c r="I144" s="19">
        <v>94.9</v>
      </c>
      <c r="J144" s="19">
        <v>66.7</v>
      </c>
      <c r="K144" s="19">
        <v>163.80000000000001</v>
      </c>
      <c r="L144" s="19">
        <v>2.6680000000000001</v>
      </c>
      <c r="M144" s="19">
        <v>15.3</v>
      </c>
      <c r="N144" s="19">
        <v>27</v>
      </c>
      <c r="O144" s="19" t="s">
        <v>369</v>
      </c>
      <c r="P144" s="19">
        <v>51.955108869999997</v>
      </c>
    </row>
    <row r="145" spans="1:16" x14ac:dyDescent="0.3">
      <c r="A145" s="17" t="s">
        <v>49</v>
      </c>
      <c r="B145" s="19" t="s">
        <v>231</v>
      </c>
      <c r="C145" s="19">
        <v>68.411000000000001</v>
      </c>
      <c r="D145" s="19">
        <v>19.425000000000001</v>
      </c>
      <c r="E145" s="19" t="s">
        <v>284</v>
      </c>
      <c r="F145" s="19">
        <v>22.288</v>
      </c>
      <c r="G145" s="19">
        <v>2.7</v>
      </c>
      <c r="H145" s="19">
        <v>150</v>
      </c>
      <c r="I145" s="19">
        <v>105.3</v>
      </c>
      <c r="J145" s="19">
        <v>66.5</v>
      </c>
      <c r="K145" s="19">
        <v>183.3</v>
      </c>
      <c r="L145" s="19">
        <v>3.44</v>
      </c>
      <c r="M145" s="19">
        <v>18.5</v>
      </c>
      <c r="N145" s="19">
        <v>23</v>
      </c>
      <c r="O145" s="19" t="s">
        <v>370</v>
      </c>
      <c r="P145" s="19">
        <v>62.35557713</v>
      </c>
    </row>
    <row r="146" spans="1:16" x14ac:dyDescent="0.3">
      <c r="A146" s="17" t="s">
        <v>49</v>
      </c>
      <c r="B146" s="19" t="s">
        <v>232</v>
      </c>
      <c r="C146" s="19">
        <v>9.8350000000000009</v>
      </c>
      <c r="D146" s="19">
        <v>34.08</v>
      </c>
      <c r="E146" s="19" t="s">
        <v>284</v>
      </c>
      <c r="F146" s="19">
        <v>51.728000000000002</v>
      </c>
      <c r="G146" s="19">
        <v>4.7</v>
      </c>
      <c r="H146" s="19">
        <v>230</v>
      </c>
      <c r="I146" s="19">
        <v>112.2</v>
      </c>
      <c r="J146" s="19">
        <v>76.400000000000006</v>
      </c>
      <c r="K146" s="19">
        <v>192.5</v>
      </c>
      <c r="L146" s="19">
        <v>5.1150000000000002</v>
      </c>
      <c r="M146" s="19">
        <v>25.4</v>
      </c>
      <c r="N146" s="19">
        <v>15</v>
      </c>
      <c r="O146" s="19" t="s">
        <v>371</v>
      </c>
      <c r="P146" s="19">
        <v>102.5289842</v>
      </c>
    </row>
    <row r="147" spans="1:16" x14ac:dyDescent="0.3">
      <c r="A147" s="17" t="s">
        <v>50</v>
      </c>
      <c r="B147" s="19" t="s">
        <v>233</v>
      </c>
      <c r="C147" s="19">
        <v>9.7609999999999992</v>
      </c>
      <c r="D147" s="19">
        <v>11.425000000000001</v>
      </c>
      <c r="E147" s="19" t="s">
        <v>265</v>
      </c>
      <c r="F147" s="19">
        <v>14.9</v>
      </c>
      <c r="G147" s="19">
        <v>2</v>
      </c>
      <c r="H147" s="19">
        <v>115</v>
      </c>
      <c r="I147" s="19">
        <v>98.9</v>
      </c>
      <c r="J147" s="19">
        <v>68.3</v>
      </c>
      <c r="K147" s="19">
        <v>163.30000000000001</v>
      </c>
      <c r="L147" s="19">
        <v>2.7669999999999999</v>
      </c>
      <c r="M147" s="19">
        <v>14.5</v>
      </c>
      <c r="N147" s="19">
        <v>26</v>
      </c>
      <c r="O147" s="19" t="s">
        <v>372</v>
      </c>
      <c r="P147" s="19">
        <v>46.943876760000002</v>
      </c>
    </row>
    <row r="148" spans="1:16" x14ac:dyDescent="0.3">
      <c r="A148" s="17" t="s">
        <v>50</v>
      </c>
      <c r="B148" s="19" t="s">
        <v>234</v>
      </c>
      <c r="C148" s="19">
        <v>83.721000000000004</v>
      </c>
      <c r="D148" s="19">
        <v>13.24</v>
      </c>
      <c r="E148" s="19" t="s">
        <v>265</v>
      </c>
      <c r="F148" s="19">
        <v>16.7</v>
      </c>
      <c r="G148" s="19">
        <v>2</v>
      </c>
      <c r="H148" s="19">
        <v>115</v>
      </c>
      <c r="I148" s="19">
        <v>98.9</v>
      </c>
      <c r="J148" s="19">
        <v>68.3</v>
      </c>
      <c r="K148" s="19">
        <v>172.3</v>
      </c>
      <c r="L148" s="19">
        <v>2.8530000000000002</v>
      </c>
      <c r="M148" s="19">
        <v>14.5</v>
      </c>
      <c r="N148" s="19">
        <v>26</v>
      </c>
      <c r="O148" s="19" t="s">
        <v>373</v>
      </c>
      <c r="P148" s="19">
        <v>47.638236659999997</v>
      </c>
    </row>
    <row r="149" spans="1:16" x14ac:dyDescent="0.3">
      <c r="A149" s="17" t="s">
        <v>50</v>
      </c>
      <c r="B149" s="19" t="s">
        <v>235</v>
      </c>
      <c r="C149" s="19">
        <v>51.101999999999997</v>
      </c>
      <c r="D149" s="19">
        <v>16.725000000000001</v>
      </c>
      <c r="E149" s="19" t="s">
        <v>265</v>
      </c>
      <c r="F149" s="19">
        <v>21.2</v>
      </c>
      <c r="G149" s="19">
        <v>1.8</v>
      </c>
      <c r="H149" s="19">
        <v>150</v>
      </c>
      <c r="I149" s="19">
        <v>106.4</v>
      </c>
      <c r="J149" s="19">
        <v>68.5</v>
      </c>
      <c r="K149" s="19">
        <v>184.1</v>
      </c>
      <c r="L149" s="19">
        <v>3.0430000000000001</v>
      </c>
      <c r="M149" s="19">
        <v>16.399999999999999</v>
      </c>
      <c r="N149" s="19">
        <v>27</v>
      </c>
      <c r="O149" s="19" t="s">
        <v>341</v>
      </c>
      <c r="P149" s="19">
        <v>61.701381359999999</v>
      </c>
    </row>
    <row r="150" spans="1:16" x14ac:dyDescent="0.3">
      <c r="A150" s="17" t="s">
        <v>50</v>
      </c>
      <c r="B150" s="19" t="s">
        <v>236</v>
      </c>
      <c r="C150" s="19">
        <v>9.5690000000000008</v>
      </c>
      <c r="D150" s="19">
        <v>16.574999999999999</v>
      </c>
      <c r="E150" s="19" t="s">
        <v>265</v>
      </c>
      <c r="F150" s="19">
        <v>19.989999999999998</v>
      </c>
      <c r="G150" s="19">
        <v>2</v>
      </c>
      <c r="H150" s="19">
        <v>115</v>
      </c>
      <c r="I150" s="19">
        <v>97.4</v>
      </c>
      <c r="J150" s="19">
        <v>66.7</v>
      </c>
      <c r="K150" s="19">
        <v>160.4</v>
      </c>
      <c r="L150" s="19">
        <v>3.0790000000000002</v>
      </c>
      <c r="M150" s="19">
        <v>13.7</v>
      </c>
      <c r="N150" s="19">
        <v>26</v>
      </c>
      <c r="O150" s="19" t="s">
        <v>374</v>
      </c>
      <c r="P150" s="19">
        <v>48.907372250000002</v>
      </c>
    </row>
    <row r="151" spans="1:16" x14ac:dyDescent="0.3">
      <c r="A151" s="17" t="s">
        <v>50</v>
      </c>
      <c r="B151" s="19" t="s">
        <v>237</v>
      </c>
      <c r="C151" s="19">
        <v>5.5960000000000001</v>
      </c>
      <c r="D151" s="19">
        <v>13.76</v>
      </c>
      <c r="E151" s="19" t="s">
        <v>265</v>
      </c>
      <c r="F151" s="19">
        <v>17.5</v>
      </c>
      <c r="G151" s="19">
        <v>2</v>
      </c>
      <c r="H151" s="19">
        <v>115</v>
      </c>
      <c r="I151" s="19">
        <v>98.9</v>
      </c>
      <c r="J151" s="19">
        <v>68.3</v>
      </c>
      <c r="K151" s="19">
        <v>163.30000000000001</v>
      </c>
      <c r="L151" s="19">
        <v>2.762</v>
      </c>
      <c r="M151" s="19">
        <v>14.6</v>
      </c>
      <c r="N151" s="19">
        <v>26</v>
      </c>
      <c r="O151" s="19" t="s">
        <v>375</v>
      </c>
      <c r="P151" s="19">
        <v>47.946841059999997</v>
      </c>
    </row>
    <row r="152" spans="1:16" x14ac:dyDescent="0.3">
      <c r="A152" s="17" t="s">
        <v>50</v>
      </c>
      <c r="B152" s="19" t="s">
        <v>238</v>
      </c>
      <c r="C152" s="19">
        <v>49.463000000000001</v>
      </c>
      <c r="D152" s="19"/>
      <c r="E152" s="19" t="s">
        <v>265</v>
      </c>
      <c r="F152" s="19">
        <v>15.9</v>
      </c>
      <c r="G152" s="19">
        <v>2</v>
      </c>
      <c r="H152" s="19">
        <v>115</v>
      </c>
      <c r="I152" s="19">
        <v>98.9</v>
      </c>
      <c r="J152" s="19">
        <v>67.900000000000006</v>
      </c>
      <c r="K152" s="19">
        <v>161.1</v>
      </c>
      <c r="L152" s="19">
        <v>2.7690000000000001</v>
      </c>
      <c r="M152" s="19">
        <v>14.5</v>
      </c>
      <c r="N152" s="19">
        <v>26</v>
      </c>
      <c r="O152" s="19" t="s">
        <v>400</v>
      </c>
      <c r="P152" s="19">
        <v>47.329632259999997</v>
      </c>
    </row>
    <row r="153" spans="1:16" x14ac:dyDescent="0.3">
      <c r="A153" s="17" t="s">
        <v>51</v>
      </c>
      <c r="B153" s="19" t="s">
        <v>239</v>
      </c>
      <c r="C153" s="19">
        <v>16.957000000000001</v>
      </c>
      <c r="D153" s="19"/>
      <c r="E153" s="19" t="s">
        <v>265</v>
      </c>
      <c r="F153" s="19">
        <v>23.4</v>
      </c>
      <c r="G153" s="19">
        <v>1.9</v>
      </c>
      <c r="H153" s="19">
        <v>160</v>
      </c>
      <c r="I153" s="19">
        <v>100.5</v>
      </c>
      <c r="J153" s="19">
        <v>67.599999999999994</v>
      </c>
      <c r="K153" s="19">
        <v>176.6</v>
      </c>
      <c r="L153" s="19">
        <v>2.9980000000000002</v>
      </c>
      <c r="M153" s="19">
        <v>15.8</v>
      </c>
      <c r="N153" s="19">
        <v>25</v>
      </c>
      <c r="O153" s="19" t="s">
        <v>376</v>
      </c>
      <c r="P153" s="19">
        <v>66.113056799999995</v>
      </c>
    </row>
    <row r="154" spans="1:16" x14ac:dyDescent="0.3">
      <c r="A154" s="17" t="s">
        <v>51</v>
      </c>
      <c r="B154" s="19" t="s">
        <v>240</v>
      </c>
      <c r="C154" s="19">
        <v>3.5449999999999999</v>
      </c>
      <c r="D154" s="19"/>
      <c r="E154" s="19" t="s">
        <v>265</v>
      </c>
      <c r="F154" s="19">
        <v>24.4</v>
      </c>
      <c r="G154" s="19">
        <v>1.9</v>
      </c>
      <c r="H154" s="19">
        <v>160</v>
      </c>
      <c r="I154" s="19">
        <v>100.5</v>
      </c>
      <c r="J154" s="19">
        <v>67.599999999999994</v>
      </c>
      <c r="K154" s="19">
        <v>176.6</v>
      </c>
      <c r="L154" s="19">
        <v>3.0419999999999998</v>
      </c>
      <c r="M154" s="19">
        <v>15.8</v>
      </c>
      <c r="N154" s="19">
        <v>25</v>
      </c>
      <c r="O154" s="19" t="s">
        <v>377</v>
      </c>
      <c r="P154" s="19">
        <v>66.498812299999997</v>
      </c>
    </row>
    <row r="155" spans="1:16" x14ac:dyDescent="0.3">
      <c r="A155" s="17" t="s">
        <v>51</v>
      </c>
      <c r="B155" s="19" t="s">
        <v>241</v>
      </c>
      <c r="C155" s="19">
        <v>15.244999999999999</v>
      </c>
      <c r="D155" s="19"/>
      <c r="E155" s="19" t="s">
        <v>265</v>
      </c>
      <c r="F155" s="19">
        <v>27.5</v>
      </c>
      <c r="G155" s="19">
        <v>2.4</v>
      </c>
      <c r="H155" s="19">
        <v>168</v>
      </c>
      <c r="I155" s="19">
        <v>104.9</v>
      </c>
      <c r="J155" s="19">
        <v>69.3</v>
      </c>
      <c r="K155" s="19">
        <v>185.9</v>
      </c>
      <c r="L155" s="19">
        <v>3.2080000000000002</v>
      </c>
      <c r="M155" s="19">
        <v>17.899999999999999</v>
      </c>
      <c r="N155" s="19">
        <v>25</v>
      </c>
      <c r="O155" s="19" t="s">
        <v>347</v>
      </c>
      <c r="P155" s="19">
        <v>70.654495449999999</v>
      </c>
    </row>
    <row r="156" spans="1:16" x14ac:dyDescent="0.3">
      <c r="A156" s="17" t="s">
        <v>51</v>
      </c>
      <c r="B156" s="19" t="s">
        <v>242</v>
      </c>
      <c r="C156" s="19">
        <v>17.530999999999999</v>
      </c>
      <c r="D156" s="19"/>
      <c r="E156" s="19" t="s">
        <v>265</v>
      </c>
      <c r="F156" s="19">
        <v>28.8</v>
      </c>
      <c r="G156" s="19">
        <v>2.4</v>
      </c>
      <c r="H156" s="19">
        <v>168</v>
      </c>
      <c r="I156" s="19">
        <v>104.9</v>
      </c>
      <c r="J156" s="19">
        <v>69.3</v>
      </c>
      <c r="K156" s="19">
        <v>186.2</v>
      </c>
      <c r="L156" s="19">
        <v>3.2589999999999999</v>
      </c>
      <c r="M156" s="19">
        <v>17.899999999999999</v>
      </c>
      <c r="N156" s="19">
        <v>25</v>
      </c>
      <c r="O156" s="19" t="s">
        <v>378</v>
      </c>
      <c r="P156" s="19">
        <v>71.1559776</v>
      </c>
    </row>
    <row r="157" spans="1:16" x14ac:dyDescent="0.3">
      <c r="A157" s="17" t="s">
        <v>51</v>
      </c>
      <c r="B157" s="19" t="s">
        <v>243</v>
      </c>
      <c r="C157" s="19">
        <v>3.4929999999999999</v>
      </c>
      <c r="D157" s="19"/>
      <c r="E157" s="19" t="s">
        <v>265</v>
      </c>
      <c r="F157" s="19">
        <v>45.5</v>
      </c>
      <c r="G157" s="19">
        <v>2.2999999999999998</v>
      </c>
      <c r="H157" s="19">
        <v>236</v>
      </c>
      <c r="I157" s="19">
        <v>104.9</v>
      </c>
      <c r="J157" s="19">
        <v>71.5</v>
      </c>
      <c r="K157" s="19">
        <v>185.7</v>
      </c>
      <c r="L157" s="19">
        <v>3.601</v>
      </c>
      <c r="M157" s="19">
        <v>18.5</v>
      </c>
      <c r="N157" s="19">
        <v>23</v>
      </c>
      <c r="O157" s="19" t="s">
        <v>379</v>
      </c>
      <c r="P157" s="19">
        <v>101.6233572</v>
      </c>
    </row>
    <row r="158" spans="1:16" x14ac:dyDescent="0.3">
      <c r="A158" s="17" t="s">
        <v>51</v>
      </c>
      <c r="B158" s="19" t="s">
        <v>244</v>
      </c>
      <c r="C158" s="19">
        <v>18.969000000000001</v>
      </c>
      <c r="D158" s="19"/>
      <c r="E158" s="19" t="s">
        <v>265</v>
      </c>
      <c r="F158" s="19">
        <v>36</v>
      </c>
      <c r="G158" s="19">
        <v>2.9</v>
      </c>
      <c r="H158" s="19">
        <v>201</v>
      </c>
      <c r="I158" s="19">
        <v>109.9</v>
      </c>
      <c r="J158" s="19">
        <v>72.099999999999994</v>
      </c>
      <c r="K158" s="19">
        <v>189.8</v>
      </c>
      <c r="L158" s="19">
        <v>3.6</v>
      </c>
      <c r="M158" s="19">
        <v>21.1</v>
      </c>
      <c r="N158" s="19">
        <v>24</v>
      </c>
      <c r="O158" s="19" t="s">
        <v>380</v>
      </c>
      <c r="P158" s="19">
        <v>85.735654510000003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58"/>
  <sheetViews>
    <sheetView showGridLines="0" zoomScaleNormal="100" workbookViewId="0">
      <pane ySplit="1" topLeftCell="A2" activePane="bottomLeft" state="frozen"/>
      <selection pane="bottomLeft" activeCell="A2" sqref="A2:A158"/>
    </sheetView>
  </sheetViews>
  <sheetFormatPr defaultColWidth="8.6640625" defaultRowHeight="14.4" x14ac:dyDescent="0.3"/>
  <cols>
    <col min="1" max="1" width="12" customWidth="1"/>
    <col min="2" max="2" width="12.5546875" bestFit="1" customWidth="1"/>
    <col min="3" max="3" width="17.77734375" bestFit="1" customWidth="1"/>
    <col min="4" max="4" width="19.33203125" bestFit="1" customWidth="1"/>
    <col min="5" max="5" width="17.6640625" bestFit="1" customWidth="1"/>
    <col min="6" max="6" width="15.21875" bestFit="1" customWidth="1"/>
    <col min="7" max="7" width="10" customWidth="1"/>
    <col min="8" max="8" width="11" customWidth="1"/>
    <col min="9" max="10" width="9" customWidth="1"/>
    <col min="11" max="12" width="12" customWidth="1"/>
    <col min="13" max="13" width="13" customWidth="1"/>
    <col min="14" max="14" width="15" customWidth="1"/>
    <col min="15" max="15" width="12" customWidth="1"/>
    <col min="16" max="17" width="10" customWidth="1"/>
    <col min="18" max="18" width="13" customWidth="1"/>
    <col min="19" max="19" width="14" customWidth="1"/>
    <col min="20" max="21" width="11" customWidth="1"/>
    <col min="22" max="22" width="9" customWidth="1"/>
    <col min="23" max="23" width="11" customWidth="1"/>
  </cols>
  <sheetData>
    <row r="1" spans="1:23" ht="27.6" x14ac:dyDescent="0.3">
      <c r="A1" s="8" t="s">
        <v>66</v>
      </c>
      <c r="B1" s="8" t="s">
        <v>65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8" t="s">
        <v>81</v>
      </c>
      <c r="Q1" s="8" t="s">
        <v>82</v>
      </c>
      <c r="R1" s="8" t="s">
        <v>83</v>
      </c>
      <c r="S1" s="8" t="s">
        <v>84</v>
      </c>
      <c r="T1" s="8" t="s">
        <v>85</v>
      </c>
      <c r="U1" s="8" t="s">
        <v>86</v>
      </c>
      <c r="V1" s="8" t="s">
        <v>87</v>
      </c>
      <c r="W1" s="8" t="s">
        <v>88</v>
      </c>
    </row>
    <row r="2" spans="1:23" x14ac:dyDescent="0.3">
      <c r="A2" s="9" t="s">
        <v>22</v>
      </c>
      <c r="B2" s="9" t="s">
        <v>89</v>
      </c>
      <c r="C2" s="9" t="s">
        <v>54</v>
      </c>
      <c r="D2" s="12">
        <v>16.919</v>
      </c>
      <c r="E2" s="13">
        <v>21.5</v>
      </c>
      <c r="F2" s="9">
        <v>1.8</v>
      </c>
      <c r="G2" s="9">
        <v>140</v>
      </c>
      <c r="H2" s="9">
        <v>101.2</v>
      </c>
      <c r="I2" s="9">
        <v>67.3</v>
      </c>
      <c r="J2" s="9">
        <v>172.4</v>
      </c>
      <c r="K2" s="9">
        <v>2.6389999999999998</v>
      </c>
      <c r="L2" s="9">
        <v>13.2</v>
      </c>
      <c r="M2" s="9">
        <v>28</v>
      </c>
      <c r="N2" s="13">
        <v>16.36</v>
      </c>
      <c r="O2" s="14">
        <v>40941</v>
      </c>
      <c r="P2" s="9">
        <f t="shared" ref="P2:P33" si="0">YEAR(O2)</f>
        <v>2012</v>
      </c>
      <c r="Q2" s="9" t="str">
        <f t="shared" ref="Q2:Q33" si="1">TEXT(O2,"mmm")</f>
        <v>Feb</v>
      </c>
      <c r="R2" s="9">
        <v>58.280149520000002</v>
      </c>
      <c r="S2" s="15">
        <f t="shared" ref="S2:S33" si="2">IFERROR(D2*E2,"")</f>
        <v>363.75850000000003</v>
      </c>
      <c r="T2" s="9" t="str">
        <f t="shared" ref="T2:T33" si="3">IF(E2="","Unknown",_xlfn.IFS(E2&lt;15,"Budget",E2&lt;30,"Mid-range",TRUE(),"Luxury"))</f>
        <v>Mid-range</v>
      </c>
      <c r="U2" s="9" t="str">
        <f t="shared" ref="U2:U33" si="4">IF(COUNTBLANK(D2:R2)&gt;0,"Incomplete","Complete")</f>
        <v>Complete</v>
      </c>
      <c r="V2" s="9">
        <f t="shared" ref="V2:V33" si="5">IFERROR(RANK(D2,$D$2:$D$158),"")</f>
        <v>109</v>
      </c>
      <c r="W2" s="9">
        <f t="shared" ref="W2:W33" si="6">IFERROR(RANK(S2,$S$2:$S$158),"")</f>
        <v>119</v>
      </c>
    </row>
    <row r="3" spans="1:23" x14ac:dyDescent="0.3">
      <c r="A3" s="9" t="s">
        <v>22</v>
      </c>
      <c r="B3" s="9" t="s">
        <v>90</v>
      </c>
      <c r="C3" s="9" t="s">
        <v>54</v>
      </c>
      <c r="D3" s="12">
        <v>39.384</v>
      </c>
      <c r="E3" s="13">
        <v>28.4</v>
      </c>
      <c r="F3" s="9">
        <v>3.2</v>
      </c>
      <c r="G3" s="9">
        <v>225</v>
      </c>
      <c r="H3" s="9">
        <v>108.1</v>
      </c>
      <c r="I3" s="9">
        <v>70.3</v>
      </c>
      <c r="J3" s="9">
        <v>192.9</v>
      </c>
      <c r="K3" s="9">
        <v>3.5169999999999999</v>
      </c>
      <c r="L3" s="9">
        <v>17.2</v>
      </c>
      <c r="M3" s="9">
        <v>25</v>
      </c>
      <c r="N3" s="13">
        <v>19.875</v>
      </c>
      <c r="O3" s="14">
        <v>40697</v>
      </c>
      <c r="P3" s="9">
        <f t="shared" si="0"/>
        <v>2011</v>
      </c>
      <c r="Q3" s="9" t="str">
        <f t="shared" si="1"/>
        <v>Jun</v>
      </c>
      <c r="R3" s="9">
        <v>91.370777660000002</v>
      </c>
      <c r="S3" s="15">
        <f t="shared" si="2"/>
        <v>1118.5056</v>
      </c>
      <c r="T3" s="9" t="str">
        <f t="shared" si="3"/>
        <v>Mid-range</v>
      </c>
      <c r="U3" s="9" t="str">
        <f t="shared" si="4"/>
        <v>Complete</v>
      </c>
      <c r="V3" s="9">
        <f t="shared" si="5"/>
        <v>64</v>
      </c>
      <c r="W3" s="9">
        <f t="shared" si="6"/>
        <v>48</v>
      </c>
    </row>
    <row r="4" spans="1:23" x14ac:dyDescent="0.3">
      <c r="A4" s="9" t="s">
        <v>22</v>
      </c>
      <c r="B4" s="9" t="s">
        <v>91</v>
      </c>
      <c r="C4" s="9" t="s">
        <v>54</v>
      </c>
      <c r="D4" s="12">
        <v>14.114000000000001</v>
      </c>
      <c r="E4" s="13"/>
      <c r="F4" s="9">
        <v>3.2</v>
      </c>
      <c r="G4" s="9">
        <v>225</v>
      </c>
      <c r="H4" s="9">
        <v>106.9</v>
      </c>
      <c r="I4" s="9">
        <v>70.599999999999994</v>
      </c>
      <c r="J4" s="9">
        <v>192</v>
      </c>
      <c r="K4" s="9">
        <v>3.47</v>
      </c>
      <c r="L4" s="9">
        <v>17.2</v>
      </c>
      <c r="M4" s="9">
        <v>26</v>
      </c>
      <c r="N4" s="13">
        <v>18.225000000000001</v>
      </c>
      <c r="O4" s="14">
        <v>40912</v>
      </c>
      <c r="P4" s="9">
        <f t="shared" si="0"/>
        <v>2012</v>
      </c>
      <c r="Q4" s="9" t="str">
        <f t="shared" si="1"/>
        <v>Jan</v>
      </c>
      <c r="R4" s="9"/>
      <c r="S4" s="15">
        <f t="shared" si="2"/>
        <v>0</v>
      </c>
      <c r="T4" s="9" t="str">
        <f t="shared" si="3"/>
        <v>Unknown</v>
      </c>
      <c r="U4" s="9" t="str">
        <f t="shared" si="4"/>
        <v>Incomplete</v>
      </c>
      <c r="V4" s="9">
        <f t="shared" si="5"/>
        <v>118</v>
      </c>
      <c r="W4" s="9">
        <f t="shared" si="6"/>
        <v>156</v>
      </c>
    </row>
    <row r="5" spans="1:23" x14ac:dyDescent="0.3">
      <c r="A5" s="9" t="s">
        <v>22</v>
      </c>
      <c r="B5" s="9" t="s">
        <v>92</v>
      </c>
      <c r="C5" s="9" t="s">
        <v>54</v>
      </c>
      <c r="D5" s="12">
        <v>8.5879999999999992</v>
      </c>
      <c r="E5" s="13">
        <v>42</v>
      </c>
      <c r="F5" s="9">
        <v>3.5</v>
      </c>
      <c r="G5" s="9">
        <v>210</v>
      </c>
      <c r="H5" s="9">
        <v>114.6</v>
      </c>
      <c r="I5" s="9">
        <v>71.400000000000006</v>
      </c>
      <c r="J5" s="9">
        <v>196.6</v>
      </c>
      <c r="K5" s="9">
        <v>3.85</v>
      </c>
      <c r="L5" s="9">
        <v>18</v>
      </c>
      <c r="M5" s="9">
        <v>22</v>
      </c>
      <c r="N5" s="13">
        <v>29.725000000000001</v>
      </c>
      <c r="O5" s="14">
        <v>40612</v>
      </c>
      <c r="P5" s="9">
        <f t="shared" si="0"/>
        <v>2011</v>
      </c>
      <c r="Q5" s="9" t="str">
        <f t="shared" si="1"/>
        <v>Mar</v>
      </c>
      <c r="R5" s="9">
        <v>91.389779329999996</v>
      </c>
      <c r="S5" s="15">
        <f t="shared" si="2"/>
        <v>360.69599999999997</v>
      </c>
      <c r="T5" s="9" t="str">
        <f t="shared" si="3"/>
        <v>Luxury</v>
      </c>
      <c r="U5" s="9" t="str">
        <f t="shared" si="4"/>
        <v>Complete</v>
      </c>
      <c r="V5" s="9">
        <f t="shared" si="5"/>
        <v>134</v>
      </c>
      <c r="W5" s="9">
        <f t="shared" si="6"/>
        <v>120</v>
      </c>
    </row>
    <row r="6" spans="1:23" x14ac:dyDescent="0.3">
      <c r="A6" s="9" t="s">
        <v>23</v>
      </c>
      <c r="B6" s="9" t="s">
        <v>93</v>
      </c>
      <c r="C6" s="9" t="s">
        <v>54</v>
      </c>
      <c r="D6" s="12">
        <v>20.396999999999998</v>
      </c>
      <c r="E6" s="13">
        <v>23.99</v>
      </c>
      <c r="F6" s="9">
        <v>1.8</v>
      </c>
      <c r="G6" s="9">
        <v>150</v>
      </c>
      <c r="H6" s="9">
        <v>102.6</v>
      </c>
      <c r="I6" s="9">
        <v>68.2</v>
      </c>
      <c r="J6" s="9">
        <v>178</v>
      </c>
      <c r="K6" s="9">
        <v>2.9980000000000002</v>
      </c>
      <c r="L6" s="9">
        <v>16.399999999999999</v>
      </c>
      <c r="M6" s="9">
        <v>27</v>
      </c>
      <c r="N6" s="13">
        <v>22.254999999999999</v>
      </c>
      <c r="O6" s="14">
        <v>40824</v>
      </c>
      <c r="P6" s="9">
        <f t="shared" si="0"/>
        <v>2011</v>
      </c>
      <c r="Q6" s="9" t="str">
        <f t="shared" si="1"/>
        <v>Oct</v>
      </c>
      <c r="R6" s="9">
        <v>62.777639200000003</v>
      </c>
      <c r="S6" s="15">
        <f t="shared" si="2"/>
        <v>489.32402999999994</v>
      </c>
      <c r="T6" s="9" t="str">
        <f t="shared" si="3"/>
        <v>Mid-range</v>
      </c>
      <c r="U6" s="9" t="str">
        <f t="shared" si="4"/>
        <v>Complete</v>
      </c>
      <c r="V6" s="9">
        <f t="shared" si="5"/>
        <v>97</v>
      </c>
      <c r="W6" s="9">
        <f t="shared" si="6"/>
        <v>102</v>
      </c>
    </row>
    <row r="7" spans="1:23" x14ac:dyDescent="0.3">
      <c r="A7" s="9" t="s">
        <v>23</v>
      </c>
      <c r="B7" s="9" t="s">
        <v>94</v>
      </c>
      <c r="C7" s="9" t="s">
        <v>54</v>
      </c>
      <c r="D7" s="12">
        <v>18.78</v>
      </c>
      <c r="E7" s="13">
        <v>33.950000000000003</v>
      </c>
      <c r="F7" s="9">
        <v>2.8</v>
      </c>
      <c r="G7" s="9">
        <v>200</v>
      </c>
      <c r="H7" s="9">
        <v>108.7</v>
      </c>
      <c r="I7" s="9">
        <v>76.099999999999994</v>
      </c>
      <c r="J7" s="9">
        <v>192</v>
      </c>
      <c r="K7" s="9">
        <v>3.5609999999999999</v>
      </c>
      <c r="L7" s="9">
        <v>18.5</v>
      </c>
      <c r="M7" s="9">
        <v>22</v>
      </c>
      <c r="N7" s="13">
        <v>23.555</v>
      </c>
      <c r="O7" s="14">
        <v>40764</v>
      </c>
      <c r="P7" s="9">
        <f t="shared" si="0"/>
        <v>2011</v>
      </c>
      <c r="Q7" s="9" t="str">
        <f t="shared" si="1"/>
        <v>Aug</v>
      </c>
      <c r="R7" s="9">
        <v>84.565105020000004</v>
      </c>
      <c r="S7" s="15">
        <f t="shared" si="2"/>
        <v>637.58100000000013</v>
      </c>
      <c r="T7" s="9" t="str">
        <f t="shared" si="3"/>
        <v>Luxury</v>
      </c>
      <c r="U7" s="9" t="str">
        <f t="shared" si="4"/>
        <v>Complete</v>
      </c>
      <c r="V7" s="9">
        <f t="shared" si="5"/>
        <v>103</v>
      </c>
      <c r="W7" s="9">
        <f t="shared" si="6"/>
        <v>86</v>
      </c>
    </row>
    <row r="8" spans="1:23" x14ac:dyDescent="0.3">
      <c r="A8" s="9" t="s">
        <v>23</v>
      </c>
      <c r="B8" s="9" t="s">
        <v>95</v>
      </c>
      <c r="C8" s="9" t="s">
        <v>54</v>
      </c>
      <c r="D8" s="12">
        <v>1.38</v>
      </c>
      <c r="E8" s="13">
        <v>62</v>
      </c>
      <c r="F8" s="9">
        <v>4.2</v>
      </c>
      <c r="G8" s="9">
        <v>310</v>
      </c>
      <c r="H8" s="9">
        <v>113</v>
      </c>
      <c r="I8" s="9">
        <v>74</v>
      </c>
      <c r="J8" s="9">
        <v>198.2</v>
      </c>
      <c r="K8" s="9">
        <v>3.9020000000000001</v>
      </c>
      <c r="L8" s="9">
        <v>23.7</v>
      </c>
      <c r="M8" s="9">
        <v>21</v>
      </c>
      <c r="N8" s="13">
        <v>39</v>
      </c>
      <c r="O8" s="14">
        <v>40966</v>
      </c>
      <c r="P8" s="9">
        <f t="shared" si="0"/>
        <v>2012</v>
      </c>
      <c r="Q8" s="9" t="str">
        <f t="shared" si="1"/>
        <v>Feb</v>
      </c>
      <c r="R8" s="9">
        <v>134.65685819999999</v>
      </c>
      <c r="S8" s="15">
        <f t="shared" si="2"/>
        <v>85.559999999999988</v>
      </c>
      <c r="T8" s="9" t="str">
        <f t="shared" si="3"/>
        <v>Luxury</v>
      </c>
      <c r="U8" s="9" t="str">
        <f t="shared" si="4"/>
        <v>Complete</v>
      </c>
      <c r="V8" s="9">
        <f t="shared" si="5"/>
        <v>152</v>
      </c>
      <c r="W8" s="9">
        <f t="shared" si="6"/>
        <v>147</v>
      </c>
    </row>
    <row r="9" spans="1:23" x14ac:dyDescent="0.3">
      <c r="A9" s="9" t="s">
        <v>24</v>
      </c>
      <c r="B9" s="9" t="s">
        <v>96</v>
      </c>
      <c r="C9" s="9" t="s">
        <v>54</v>
      </c>
      <c r="D9" s="12">
        <v>19.747</v>
      </c>
      <c r="E9" s="13">
        <v>26.99</v>
      </c>
      <c r="F9" s="9">
        <v>2.5</v>
      </c>
      <c r="G9" s="9">
        <v>170</v>
      </c>
      <c r="H9" s="9">
        <v>107.3</v>
      </c>
      <c r="I9" s="9">
        <v>68.400000000000006</v>
      </c>
      <c r="J9" s="9">
        <v>176</v>
      </c>
      <c r="K9" s="9">
        <v>3.1789999999999998</v>
      </c>
      <c r="L9" s="9">
        <v>16.600000000000001</v>
      </c>
      <c r="M9" s="9">
        <v>26</v>
      </c>
      <c r="N9" s="13"/>
      <c r="O9" s="14">
        <v>40722</v>
      </c>
      <c r="P9" s="9">
        <f t="shared" si="0"/>
        <v>2011</v>
      </c>
      <c r="Q9" s="9" t="str">
        <f t="shared" si="1"/>
        <v>Jun</v>
      </c>
      <c r="R9" s="9">
        <v>71.191206710000003</v>
      </c>
      <c r="S9" s="15">
        <f t="shared" si="2"/>
        <v>532.97152999999992</v>
      </c>
      <c r="T9" s="9" t="str">
        <f t="shared" si="3"/>
        <v>Mid-range</v>
      </c>
      <c r="U9" s="9" t="str">
        <f t="shared" si="4"/>
        <v>Incomplete</v>
      </c>
      <c r="V9" s="9">
        <f t="shared" si="5"/>
        <v>101</v>
      </c>
      <c r="W9" s="9">
        <f t="shared" si="6"/>
        <v>96</v>
      </c>
    </row>
    <row r="10" spans="1:23" x14ac:dyDescent="0.3">
      <c r="A10" s="9" t="s">
        <v>24</v>
      </c>
      <c r="B10" s="9" t="s">
        <v>97</v>
      </c>
      <c r="C10" s="9" t="s">
        <v>54</v>
      </c>
      <c r="D10" s="12">
        <v>9.2309999999999999</v>
      </c>
      <c r="E10" s="13">
        <v>33.4</v>
      </c>
      <c r="F10" s="9">
        <v>2.8</v>
      </c>
      <c r="G10" s="9">
        <v>193</v>
      </c>
      <c r="H10" s="9">
        <v>107.3</v>
      </c>
      <c r="I10" s="9">
        <v>68.5</v>
      </c>
      <c r="J10" s="9">
        <v>176</v>
      </c>
      <c r="K10" s="9">
        <v>3.1970000000000001</v>
      </c>
      <c r="L10" s="9">
        <v>16.600000000000001</v>
      </c>
      <c r="M10" s="9">
        <v>24</v>
      </c>
      <c r="N10" s="13">
        <v>28.675000000000001</v>
      </c>
      <c r="O10" s="14">
        <v>40937</v>
      </c>
      <c r="P10" s="9">
        <f t="shared" si="0"/>
        <v>2012</v>
      </c>
      <c r="Q10" s="9" t="str">
        <f t="shared" si="1"/>
        <v>Jan</v>
      </c>
      <c r="R10" s="9">
        <v>81.877068559999998</v>
      </c>
      <c r="S10" s="15">
        <f t="shared" si="2"/>
        <v>308.31540000000001</v>
      </c>
      <c r="T10" s="9" t="str">
        <f t="shared" si="3"/>
        <v>Luxury</v>
      </c>
      <c r="U10" s="9" t="str">
        <f t="shared" si="4"/>
        <v>Complete</v>
      </c>
      <c r="V10" s="9">
        <f t="shared" si="5"/>
        <v>130</v>
      </c>
      <c r="W10" s="9">
        <f t="shared" si="6"/>
        <v>128</v>
      </c>
    </row>
    <row r="11" spans="1:23" x14ac:dyDescent="0.3">
      <c r="A11" s="9" t="s">
        <v>24</v>
      </c>
      <c r="B11" s="9" t="s">
        <v>98</v>
      </c>
      <c r="C11" s="9" t="s">
        <v>54</v>
      </c>
      <c r="D11" s="12">
        <v>17.527000000000001</v>
      </c>
      <c r="E11" s="13">
        <v>38.9</v>
      </c>
      <c r="F11" s="9">
        <v>2.8</v>
      </c>
      <c r="G11" s="9">
        <v>193</v>
      </c>
      <c r="H11" s="9">
        <v>111.4</v>
      </c>
      <c r="I11" s="9">
        <v>70.900000000000006</v>
      </c>
      <c r="J11" s="9">
        <v>188</v>
      </c>
      <c r="K11" s="9">
        <v>3.472</v>
      </c>
      <c r="L11" s="9">
        <v>18.5</v>
      </c>
      <c r="M11" s="9">
        <v>25</v>
      </c>
      <c r="N11" s="13">
        <v>36.125</v>
      </c>
      <c r="O11" s="14">
        <v>40637</v>
      </c>
      <c r="P11" s="9">
        <f t="shared" si="0"/>
        <v>2011</v>
      </c>
      <c r="Q11" s="9" t="str">
        <f t="shared" si="1"/>
        <v>Apr</v>
      </c>
      <c r="R11" s="9">
        <v>83.998723799999993</v>
      </c>
      <c r="S11" s="15">
        <f t="shared" si="2"/>
        <v>681.80029999999999</v>
      </c>
      <c r="T11" s="9" t="str">
        <f t="shared" si="3"/>
        <v>Luxury</v>
      </c>
      <c r="U11" s="9" t="str">
        <f t="shared" si="4"/>
        <v>Complete</v>
      </c>
      <c r="V11" s="9">
        <f t="shared" si="5"/>
        <v>107</v>
      </c>
      <c r="W11" s="9">
        <f t="shared" si="6"/>
        <v>82</v>
      </c>
    </row>
    <row r="12" spans="1:23" x14ac:dyDescent="0.3">
      <c r="A12" s="9" t="s">
        <v>25</v>
      </c>
      <c r="B12" s="9" t="s">
        <v>99</v>
      </c>
      <c r="C12" s="9" t="s">
        <v>54</v>
      </c>
      <c r="D12" s="12">
        <v>91.561000000000007</v>
      </c>
      <c r="E12" s="13">
        <v>21.975000000000001</v>
      </c>
      <c r="F12" s="9">
        <v>3.1</v>
      </c>
      <c r="G12" s="9">
        <v>175</v>
      </c>
      <c r="H12" s="9">
        <v>109</v>
      </c>
      <c r="I12" s="9">
        <v>72.7</v>
      </c>
      <c r="J12" s="9">
        <v>194.6</v>
      </c>
      <c r="K12" s="9">
        <v>3.3679999999999999</v>
      </c>
      <c r="L12" s="9">
        <v>17.5</v>
      </c>
      <c r="M12" s="9">
        <v>25</v>
      </c>
      <c r="N12" s="13">
        <v>12.475</v>
      </c>
      <c r="O12" s="14">
        <v>40849</v>
      </c>
      <c r="P12" s="9">
        <f t="shared" si="0"/>
        <v>2011</v>
      </c>
      <c r="Q12" s="9" t="str">
        <f t="shared" si="1"/>
        <v>Nov</v>
      </c>
      <c r="R12" s="9">
        <v>71.181451319999994</v>
      </c>
      <c r="S12" s="15">
        <f t="shared" si="2"/>
        <v>2012.0529750000003</v>
      </c>
      <c r="T12" s="9" t="str">
        <f t="shared" si="3"/>
        <v>Mid-range</v>
      </c>
      <c r="U12" s="9" t="str">
        <f t="shared" si="4"/>
        <v>Complete</v>
      </c>
      <c r="V12" s="9">
        <f t="shared" si="5"/>
        <v>23</v>
      </c>
      <c r="W12" s="9">
        <f t="shared" si="6"/>
        <v>23</v>
      </c>
    </row>
    <row r="13" spans="1:23" x14ac:dyDescent="0.3">
      <c r="A13" s="9" t="s">
        <v>25</v>
      </c>
      <c r="B13" s="9" t="s">
        <v>100</v>
      </c>
      <c r="C13" s="9" t="s">
        <v>54</v>
      </c>
      <c r="D13" s="12">
        <v>39.35</v>
      </c>
      <c r="E13" s="13">
        <v>25.3</v>
      </c>
      <c r="F13" s="9">
        <v>3.8</v>
      </c>
      <c r="G13" s="9">
        <v>240</v>
      </c>
      <c r="H13" s="9">
        <v>109</v>
      </c>
      <c r="I13" s="9">
        <v>72.7</v>
      </c>
      <c r="J13" s="9">
        <v>196.2</v>
      </c>
      <c r="K13" s="9">
        <v>3.5430000000000001</v>
      </c>
      <c r="L13" s="9">
        <v>17.5</v>
      </c>
      <c r="M13" s="9">
        <v>23</v>
      </c>
      <c r="N13" s="13">
        <v>13.74</v>
      </c>
      <c r="O13" s="14">
        <v>40789</v>
      </c>
      <c r="P13" s="9">
        <f t="shared" si="0"/>
        <v>2011</v>
      </c>
      <c r="Q13" s="9" t="str">
        <f t="shared" si="1"/>
        <v>Sep</v>
      </c>
      <c r="R13" s="9">
        <v>95.636702529999994</v>
      </c>
      <c r="S13" s="15">
        <f t="shared" si="2"/>
        <v>995.55500000000006</v>
      </c>
      <c r="T13" s="9" t="str">
        <f t="shared" si="3"/>
        <v>Mid-range</v>
      </c>
      <c r="U13" s="9" t="str">
        <f t="shared" si="4"/>
        <v>Complete</v>
      </c>
      <c r="V13" s="9">
        <f t="shared" si="5"/>
        <v>65</v>
      </c>
      <c r="W13" s="9">
        <f t="shared" si="6"/>
        <v>54</v>
      </c>
    </row>
    <row r="14" spans="1:23" x14ac:dyDescent="0.3">
      <c r="A14" s="9" t="s">
        <v>25</v>
      </c>
      <c r="B14" s="9" t="s">
        <v>101</v>
      </c>
      <c r="C14" s="9" t="s">
        <v>54</v>
      </c>
      <c r="D14" s="12">
        <v>27.850999999999999</v>
      </c>
      <c r="E14" s="13">
        <v>31.965</v>
      </c>
      <c r="F14" s="9">
        <v>3.8</v>
      </c>
      <c r="G14" s="9">
        <v>205</v>
      </c>
      <c r="H14" s="9">
        <v>113.8</v>
      </c>
      <c r="I14" s="9">
        <v>74.7</v>
      </c>
      <c r="J14" s="9">
        <v>206.8</v>
      </c>
      <c r="K14" s="9">
        <v>3.778</v>
      </c>
      <c r="L14" s="9">
        <v>18.5</v>
      </c>
      <c r="M14" s="9">
        <v>24</v>
      </c>
      <c r="N14" s="13">
        <v>20.190000000000001</v>
      </c>
      <c r="O14" s="14">
        <v>40991</v>
      </c>
      <c r="P14" s="9">
        <f t="shared" si="0"/>
        <v>2012</v>
      </c>
      <c r="Q14" s="9" t="str">
        <f t="shared" si="1"/>
        <v>Mar</v>
      </c>
      <c r="R14" s="9">
        <v>85.828408249999995</v>
      </c>
      <c r="S14" s="15">
        <f t="shared" si="2"/>
        <v>890.25721499999997</v>
      </c>
      <c r="T14" s="9" t="str">
        <f t="shared" si="3"/>
        <v>Luxury</v>
      </c>
      <c r="U14" s="9" t="str">
        <f t="shared" si="4"/>
        <v>Complete</v>
      </c>
      <c r="V14" s="9">
        <f t="shared" si="5"/>
        <v>81</v>
      </c>
      <c r="W14" s="9">
        <f t="shared" si="6"/>
        <v>61</v>
      </c>
    </row>
    <row r="15" spans="1:23" x14ac:dyDescent="0.3">
      <c r="A15" s="9" t="s">
        <v>25</v>
      </c>
      <c r="B15" s="9" t="s">
        <v>102</v>
      </c>
      <c r="C15" s="9" t="s">
        <v>54</v>
      </c>
      <c r="D15" s="12">
        <v>83.257000000000005</v>
      </c>
      <c r="E15" s="13">
        <v>27.885000000000002</v>
      </c>
      <c r="F15" s="9">
        <v>3.8</v>
      </c>
      <c r="G15" s="9">
        <v>205</v>
      </c>
      <c r="H15" s="9">
        <v>112.2</v>
      </c>
      <c r="I15" s="9">
        <v>73.5</v>
      </c>
      <c r="J15" s="9">
        <v>200</v>
      </c>
      <c r="K15" s="9">
        <v>3.5910000000000002</v>
      </c>
      <c r="L15" s="9">
        <v>17.5</v>
      </c>
      <c r="M15" s="9">
        <v>25</v>
      </c>
      <c r="N15" s="13">
        <v>13.36</v>
      </c>
      <c r="O15" s="14">
        <v>40747</v>
      </c>
      <c r="P15" s="9">
        <f t="shared" si="0"/>
        <v>2011</v>
      </c>
      <c r="Q15" s="9" t="str">
        <f t="shared" si="1"/>
        <v>Jul</v>
      </c>
      <c r="R15" s="9">
        <v>84.254525810000004</v>
      </c>
      <c r="S15" s="15">
        <f t="shared" si="2"/>
        <v>2321.6214450000002</v>
      </c>
      <c r="T15" s="9" t="str">
        <f t="shared" si="3"/>
        <v>Mid-range</v>
      </c>
      <c r="U15" s="9" t="str">
        <f t="shared" si="4"/>
        <v>Complete</v>
      </c>
      <c r="V15" s="9">
        <f t="shared" si="5"/>
        <v>28</v>
      </c>
      <c r="W15" s="9">
        <f t="shared" si="6"/>
        <v>17</v>
      </c>
    </row>
    <row r="16" spans="1:23" x14ac:dyDescent="0.3">
      <c r="A16" s="9" t="s">
        <v>26</v>
      </c>
      <c r="B16" s="9" t="s">
        <v>103</v>
      </c>
      <c r="C16" s="9" t="s">
        <v>54</v>
      </c>
      <c r="D16" s="12">
        <v>63.728999999999999</v>
      </c>
      <c r="E16" s="13">
        <v>39.895000000000003</v>
      </c>
      <c r="F16" s="9">
        <v>4.5999999999999996</v>
      </c>
      <c r="G16" s="9">
        <v>275</v>
      </c>
      <c r="H16" s="9">
        <v>115.3</v>
      </c>
      <c r="I16" s="9">
        <v>74.5</v>
      </c>
      <c r="J16" s="9">
        <v>207.2</v>
      </c>
      <c r="K16" s="9">
        <v>3.9780000000000002</v>
      </c>
      <c r="L16" s="9">
        <v>18.5</v>
      </c>
      <c r="M16" s="9">
        <v>22</v>
      </c>
      <c r="N16" s="13">
        <v>22.524999999999999</v>
      </c>
      <c r="O16" s="14">
        <v>40962</v>
      </c>
      <c r="P16" s="9">
        <f t="shared" si="0"/>
        <v>2012</v>
      </c>
      <c r="Q16" s="9" t="str">
        <f t="shared" si="1"/>
        <v>Feb</v>
      </c>
      <c r="R16" s="9">
        <v>113.85459760000001</v>
      </c>
      <c r="S16" s="15">
        <f t="shared" si="2"/>
        <v>2542.4684550000002</v>
      </c>
      <c r="T16" s="9" t="str">
        <f t="shared" si="3"/>
        <v>Luxury</v>
      </c>
      <c r="U16" s="9" t="str">
        <f t="shared" si="4"/>
        <v>Complete</v>
      </c>
      <c r="V16" s="9">
        <f t="shared" si="5"/>
        <v>45</v>
      </c>
      <c r="W16" s="9">
        <f t="shared" si="6"/>
        <v>15</v>
      </c>
    </row>
    <row r="17" spans="1:23" x14ac:dyDescent="0.3">
      <c r="A17" s="9" t="s">
        <v>26</v>
      </c>
      <c r="B17" s="9" t="s">
        <v>104</v>
      </c>
      <c r="C17" s="9" t="s">
        <v>54</v>
      </c>
      <c r="D17" s="12">
        <v>15.943</v>
      </c>
      <c r="E17" s="13">
        <v>44.475000000000001</v>
      </c>
      <c r="F17" s="9">
        <v>4.5999999999999996</v>
      </c>
      <c r="G17" s="9">
        <v>275</v>
      </c>
      <c r="H17" s="9">
        <v>112.2</v>
      </c>
      <c r="I17" s="9">
        <v>75</v>
      </c>
      <c r="J17" s="9">
        <v>201</v>
      </c>
      <c r="K17" s="9"/>
      <c r="L17" s="9">
        <v>18.5</v>
      </c>
      <c r="M17" s="9">
        <v>22</v>
      </c>
      <c r="N17" s="13">
        <v>27.1</v>
      </c>
      <c r="O17" s="14">
        <v>40662</v>
      </c>
      <c r="P17" s="9">
        <f t="shared" si="0"/>
        <v>2011</v>
      </c>
      <c r="Q17" s="9" t="str">
        <f t="shared" si="1"/>
        <v>Apr</v>
      </c>
      <c r="R17" s="9">
        <v>115.6213578</v>
      </c>
      <c r="S17" s="15">
        <f t="shared" si="2"/>
        <v>709.06492500000002</v>
      </c>
      <c r="T17" s="9" t="str">
        <f t="shared" si="3"/>
        <v>Luxury</v>
      </c>
      <c r="U17" s="9" t="str">
        <f t="shared" si="4"/>
        <v>Incomplete</v>
      </c>
      <c r="V17" s="9">
        <f t="shared" si="5"/>
        <v>112</v>
      </c>
      <c r="W17" s="9">
        <f t="shared" si="6"/>
        <v>77</v>
      </c>
    </row>
    <row r="18" spans="1:23" x14ac:dyDescent="0.3">
      <c r="A18" s="9" t="s">
        <v>26</v>
      </c>
      <c r="B18" s="9" t="s">
        <v>105</v>
      </c>
      <c r="C18" s="9" t="s">
        <v>54</v>
      </c>
      <c r="D18" s="12">
        <v>6.5359999999999996</v>
      </c>
      <c r="E18" s="13">
        <v>39.664999999999999</v>
      </c>
      <c r="F18" s="9">
        <v>4.5999999999999996</v>
      </c>
      <c r="G18" s="9">
        <v>275</v>
      </c>
      <c r="H18" s="9">
        <v>108</v>
      </c>
      <c r="I18" s="9">
        <v>75.5</v>
      </c>
      <c r="J18" s="9">
        <v>200.6</v>
      </c>
      <c r="K18" s="9">
        <v>3.843</v>
      </c>
      <c r="L18" s="9">
        <v>19</v>
      </c>
      <c r="M18" s="9">
        <v>22</v>
      </c>
      <c r="N18" s="13">
        <v>25.725000000000001</v>
      </c>
      <c r="O18" s="14">
        <v>40874</v>
      </c>
      <c r="P18" s="9">
        <f t="shared" si="0"/>
        <v>2011</v>
      </c>
      <c r="Q18" s="9" t="str">
        <f t="shared" si="1"/>
        <v>Nov</v>
      </c>
      <c r="R18" s="9">
        <v>113.7658739</v>
      </c>
      <c r="S18" s="15">
        <f t="shared" si="2"/>
        <v>259.25043999999997</v>
      </c>
      <c r="T18" s="9" t="str">
        <f t="shared" si="3"/>
        <v>Luxury</v>
      </c>
      <c r="U18" s="9" t="str">
        <f t="shared" si="4"/>
        <v>Complete</v>
      </c>
      <c r="V18" s="9">
        <f t="shared" si="5"/>
        <v>138</v>
      </c>
      <c r="W18" s="9">
        <f t="shared" si="6"/>
        <v>132</v>
      </c>
    </row>
    <row r="19" spans="1:23" x14ac:dyDescent="0.3">
      <c r="A19" s="9" t="s">
        <v>26</v>
      </c>
      <c r="B19" s="9" t="s">
        <v>106</v>
      </c>
      <c r="C19" s="9" t="s">
        <v>54</v>
      </c>
      <c r="D19" s="12">
        <v>11.185</v>
      </c>
      <c r="E19" s="13">
        <v>31.01</v>
      </c>
      <c r="F19" s="9">
        <v>3</v>
      </c>
      <c r="G19" s="9">
        <v>200</v>
      </c>
      <c r="H19" s="9">
        <v>107.4</v>
      </c>
      <c r="I19" s="9">
        <v>70.3</v>
      </c>
      <c r="J19" s="9">
        <v>194.8</v>
      </c>
      <c r="K19" s="9">
        <v>3.77</v>
      </c>
      <c r="L19" s="9">
        <v>18</v>
      </c>
      <c r="M19" s="9">
        <v>22</v>
      </c>
      <c r="N19" s="13">
        <v>18.225000000000001</v>
      </c>
      <c r="O19" s="14">
        <v>40814</v>
      </c>
      <c r="P19" s="9">
        <f t="shared" si="0"/>
        <v>2011</v>
      </c>
      <c r="Q19" s="9" t="str">
        <f t="shared" si="1"/>
        <v>Sep</v>
      </c>
      <c r="R19" s="9">
        <v>83.483093580000002</v>
      </c>
      <c r="S19" s="15">
        <f t="shared" si="2"/>
        <v>346.84685000000002</v>
      </c>
      <c r="T19" s="9" t="str">
        <f t="shared" si="3"/>
        <v>Luxury</v>
      </c>
      <c r="U19" s="9" t="str">
        <f t="shared" si="4"/>
        <v>Complete</v>
      </c>
      <c r="V19" s="9">
        <f t="shared" si="5"/>
        <v>126</v>
      </c>
      <c r="W19" s="9">
        <f t="shared" si="6"/>
        <v>123</v>
      </c>
    </row>
    <row r="20" spans="1:23" x14ac:dyDescent="0.3">
      <c r="A20" s="9" t="s">
        <v>26</v>
      </c>
      <c r="B20" s="9" t="s">
        <v>107</v>
      </c>
      <c r="C20" s="9" t="s">
        <v>55</v>
      </c>
      <c r="D20" s="12">
        <v>14.785</v>
      </c>
      <c r="E20" s="13">
        <v>46.225000000000001</v>
      </c>
      <c r="F20" s="9">
        <v>5.7</v>
      </c>
      <c r="G20" s="9">
        <v>255</v>
      </c>
      <c r="H20" s="9">
        <v>117.5</v>
      </c>
      <c r="I20" s="9">
        <v>77</v>
      </c>
      <c r="J20" s="9">
        <v>201.2</v>
      </c>
      <c r="K20" s="9">
        <v>5.5720000000000001</v>
      </c>
      <c r="L20" s="9">
        <v>30</v>
      </c>
      <c r="M20" s="9">
        <v>15</v>
      </c>
      <c r="N20" s="13"/>
      <c r="O20" s="14">
        <v>41016</v>
      </c>
      <c r="P20" s="9">
        <f t="shared" si="0"/>
        <v>2012</v>
      </c>
      <c r="Q20" s="9" t="str">
        <f t="shared" si="1"/>
        <v>Apr</v>
      </c>
      <c r="R20" s="9">
        <v>109.5091165</v>
      </c>
      <c r="S20" s="15">
        <f t="shared" si="2"/>
        <v>683.43662500000005</v>
      </c>
      <c r="T20" s="9" t="str">
        <f t="shared" si="3"/>
        <v>Luxury</v>
      </c>
      <c r="U20" s="9" t="str">
        <f t="shared" si="4"/>
        <v>Incomplete</v>
      </c>
      <c r="V20" s="9">
        <f t="shared" si="5"/>
        <v>115</v>
      </c>
      <c r="W20" s="9">
        <f t="shared" si="6"/>
        <v>80</v>
      </c>
    </row>
    <row r="21" spans="1:23" x14ac:dyDescent="0.3">
      <c r="A21" s="9" t="s">
        <v>27</v>
      </c>
      <c r="B21" s="9" t="s">
        <v>108</v>
      </c>
      <c r="C21" s="9" t="s">
        <v>54</v>
      </c>
      <c r="D21" s="12">
        <v>145.51900000000001</v>
      </c>
      <c r="E21" s="13">
        <v>13.26</v>
      </c>
      <c r="F21" s="9">
        <v>2.2000000000000002</v>
      </c>
      <c r="G21" s="9">
        <v>115</v>
      </c>
      <c r="H21" s="9">
        <v>104.1</v>
      </c>
      <c r="I21" s="9">
        <v>67.900000000000006</v>
      </c>
      <c r="J21" s="9">
        <v>180.9</v>
      </c>
      <c r="K21" s="9">
        <v>2.6760000000000002</v>
      </c>
      <c r="L21" s="9">
        <v>14.3</v>
      </c>
      <c r="M21" s="9">
        <v>27</v>
      </c>
      <c r="N21" s="13">
        <v>9.25</v>
      </c>
      <c r="O21" s="14">
        <v>40772</v>
      </c>
      <c r="P21" s="9">
        <f t="shared" si="0"/>
        <v>2011</v>
      </c>
      <c r="Q21" s="9" t="str">
        <f t="shared" si="1"/>
        <v>Aug</v>
      </c>
      <c r="R21" s="9">
        <v>46.363347470000001</v>
      </c>
      <c r="S21" s="15">
        <f t="shared" si="2"/>
        <v>1929.58194</v>
      </c>
      <c r="T21" s="9" t="str">
        <f t="shared" si="3"/>
        <v>Budget</v>
      </c>
      <c r="U21" s="9" t="str">
        <f t="shared" si="4"/>
        <v>Complete</v>
      </c>
      <c r="V21" s="9">
        <f t="shared" si="5"/>
        <v>13</v>
      </c>
      <c r="W21" s="9">
        <f t="shared" si="6"/>
        <v>27</v>
      </c>
    </row>
    <row r="22" spans="1:23" x14ac:dyDescent="0.3">
      <c r="A22" s="9" t="s">
        <v>27</v>
      </c>
      <c r="B22" s="9" t="s">
        <v>109</v>
      </c>
      <c r="C22" s="9" t="s">
        <v>54</v>
      </c>
      <c r="D22" s="12">
        <v>135.126</v>
      </c>
      <c r="E22" s="13">
        <v>16.535</v>
      </c>
      <c r="F22" s="9">
        <v>3.1</v>
      </c>
      <c r="G22" s="9">
        <v>170</v>
      </c>
      <c r="H22" s="9">
        <v>107</v>
      </c>
      <c r="I22" s="9">
        <v>69.400000000000006</v>
      </c>
      <c r="J22" s="9">
        <v>190.4</v>
      </c>
      <c r="K22" s="9">
        <v>3.0510000000000002</v>
      </c>
      <c r="L22" s="9">
        <v>15</v>
      </c>
      <c r="M22" s="9">
        <v>25</v>
      </c>
      <c r="N22" s="13">
        <v>11.225</v>
      </c>
      <c r="O22" s="14">
        <v>40987</v>
      </c>
      <c r="P22" s="9">
        <f t="shared" si="0"/>
        <v>2012</v>
      </c>
      <c r="Q22" s="9" t="str">
        <f t="shared" si="1"/>
        <v>Mar</v>
      </c>
      <c r="R22" s="9">
        <v>67.314462160000005</v>
      </c>
      <c r="S22" s="15">
        <f t="shared" si="2"/>
        <v>2234.3084100000001</v>
      </c>
      <c r="T22" s="9" t="str">
        <f t="shared" si="3"/>
        <v>Mid-range</v>
      </c>
      <c r="U22" s="9" t="str">
        <f t="shared" si="4"/>
        <v>Complete</v>
      </c>
      <c r="V22" s="9">
        <f t="shared" si="5"/>
        <v>15</v>
      </c>
      <c r="W22" s="9">
        <f t="shared" si="6"/>
        <v>18</v>
      </c>
    </row>
    <row r="23" spans="1:23" x14ac:dyDescent="0.3">
      <c r="A23" s="9" t="s">
        <v>27</v>
      </c>
      <c r="B23" s="9" t="s">
        <v>110</v>
      </c>
      <c r="C23" s="9" t="s">
        <v>54</v>
      </c>
      <c r="D23" s="12">
        <v>24.629000000000001</v>
      </c>
      <c r="E23" s="13">
        <v>18.89</v>
      </c>
      <c r="F23" s="9">
        <v>3.1</v>
      </c>
      <c r="G23" s="9">
        <v>175</v>
      </c>
      <c r="H23" s="9">
        <v>107.5</v>
      </c>
      <c r="I23" s="9">
        <v>72.5</v>
      </c>
      <c r="J23" s="9">
        <v>200.9</v>
      </c>
      <c r="K23" s="9">
        <v>3.33</v>
      </c>
      <c r="L23" s="9">
        <v>16.600000000000001</v>
      </c>
      <c r="M23" s="9">
        <v>25</v>
      </c>
      <c r="N23" s="13">
        <v>10.31</v>
      </c>
      <c r="O23" s="14">
        <v>40687</v>
      </c>
      <c r="P23" s="9">
        <f t="shared" si="0"/>
        <v>2011</v>
      </c>
      <c r="Q23" s="9" t="str">
        <f t="shared" si="1"/>
        <v>May</v>
      </c>
      <c r="R23" s="9">
        <v>69.991395600000004</v>
      </c>
      <c r="S23" s="15">
        <f t="shared" si="2"/>
        <v>465.24181000000004</v>
      </c>
      <c r="T23" s="9" t="str">
        <f t="shared" si="3"/>
        <v>Mid-range</v>
      </c>
      <c r="U23" s="9" t="str">
        <f t="shared" si="4"/>
        <v>Complete</v>
      </c>
      <c r="V23" s="9">
        <f t="shared" si="5"/>
        <v>89</v>
      </c>
      <c r="W23" s="9">
        <f t="shared" si="6"/>
        <v>105</v>
      </c>
    </row>
    <row r="24" spans="1:23" x14ac:dyDescent="0.3">
      <c r="A24" s="9" t="s">
        <v>27</v>
      </c>
      <c r="B24" s="9" t="s">
        <v>111</v>
      </c>
      <c r="C24" s="9" t="s">
        <v>54</v>
      </c>
      <c r="D24" s="12">
        <v>42.593000000000004</v>
      </c>
      <c r="E24" s="13">
        <v>19.39</v>
      </c>
      <c r="F24" s="9">
        <v>3.4</v>
      </c>
      <c r="G24" s="9">
        <v>180</v>
      </c>
      <c r="H24" s="9">
        <v>110.5</v>
      </c>
      <c r="I24" s="9">
        <v>72.7</v>
      </c>
      <c r="J24" s="9">
        <v>197.9</v>
      </c>
      <c r="K24" s="9">
        <v>3.34</v>
      </c>
      <c r="L24" s="9">
        <v>17</v>
      </c>
      <c r="M24" s="9">
        <v>27</v>
      </c>
      <c r="N24" s="13">
        <v>11.525</v>
      </c>
      <c r="O24" s="14">
        <v>40899</v>
      </c>
      <c r="P24" s="9">
        <f t="shared" si="0"/>
        <v>2011</v>
      </c>
      <c r="Q24" s="9" t="str">
        <f t="shared" si="1"/>
        <v>Dec</v>
      </c>
      <c r="R24" s="9">
        <v>72.030917189999997</v>
      </c>
      <c r="S24" s="15">
        <f t="shared" si="2"/>
        <v>825.87827000000004</v>
      </c>
      <c r="T24" s="9" t="str">
        <f t="shared" si="3"/>
        <v>Mid-range</v>
      </c>
      <c r="U24" s="9" t="str">
        <f t="shared" si="4"/>
        <v>Complete</v>
      </c>
      <c r="V24" s="9">
        <f t="shared" si="5"/>
        <v>59</v>
      </c>
      <c r="W24" s="9">
        <f t="shared" si="6"/>
        <v>66</v>
      </c>
    </row>
    <row r="25" spans="1:23" x14ac:dyDescent="0.3">
      <c r="A25" s="9" t="s">
        <v>27</v>
      </c>
      <c r="B25" s="9" t="s">
        <v>112</v>
      </c>
      <c r="C25" s="9" t="s">
        <v>54</v>
      </c>
      <c r="D25" s="12">
        <v>26.402000000000001</v>
      </c>
      <c r="E25" s="13">
        <v>24.34</v>
      </c>
      <c r="F25" s="9">
        <v>3.8</v>
      </c>
      <c r="G25" s="9">
        <v>200</v>
      </c>
      <c r="H25" s="9">
        <v>101.1</v>
      </c>
      <c r="I25" s="9">
        <v>74.099999999999994</v>
      </c>
      <c r="J25" s="9">
        <v>193.2</v>
      </c>
      <c r="K25" s="9">
        <v>3.5</v>
      </c>
      <c r="L25" s="9">
        <v>16.8</v>
      </c>
      <c r="M25" s="9">
        <v>25</v>
      </c>
      <c r="N25" s="13">
        <v>13.025</v>
      </c>
      <c r="O25" s="14">
        <v>40839</v>
      </c>
      <c r="P25" s="9">
        <f t="shared" si="0"/>
        <v>2011</v>
      </c>
      <c r="Q25" s="9" t="str">
        <f t="shared" si="1"/>
        <v>Oct</v>
      </c>
      <c r="R25" s="9">
        <v>81.118543329999994</v>
      </c>
      <c r="S25" s="15">
        <f t="shared" si="2"/>
        <v>642.62468000000001</v>
      </c>
      <c r="T25" s="9" t="str">
        <f t="shared" si="3"/>
        <v>Mid-range</v>
      </c>
      <c r="U25" s="9" t="str">
        <f t="shared" si="4"/>
        <v>Complete</v>
      </c>
      <c r="V25" s="9">
        <f t="shared" si="5"/>
        <v>86</v>
      </c>
      <c r="W25" s="9">
        <f t="shared" si="6"/>
        <v>85</v>
      </c>
    </row>
    <row r="26" spans="1:23" x14ac:dyDescent="0.3">
      <c r="A26" s="9" t="s">
        <v>27</v>
      </c>
      <c r="B26" s="9" t="s">
        <v>113</v>
      </c>
      <c r="C26" s="9" t="s">
        <v>54</v>
      </c>
      <c r="D26" s="12">
        <v>17.946999999999999</v>
      </c>
      <c r="E26" s="13">
        <v>45.704999999999998</v>
      </c>
      <c r="F26" s="9">
        <v>5.7</v>
      </c>
      <c r="G26" s="9">
        <v>345</v>
      </c>
      <c r="H26" s="9">
        <v>104.5</v>
      </c>
      <c r="I26" s="9">
        <v>73.599999999999994</v>
      </c>
      <c r="J26" s="9">
        <v>179.7</v>
      </c>
      <c r="K26" s="9">
        <v>3.21</v>
      </c>
      <c r="L26" s="9">
        <v>19.100000000000001</v>
      </c>
      <c r="M26" s="9">
        <v>22</v>
      </c>
      <c r="N26" s="13">
        <v>36.225000000000001</v>
      </c>
      <c r="O26" s="14">
        <v>41041</v>
      </c>
      <c r="P26" s="9">
        <f t="shared" si="0"/>
        <v>2012</v>
      </c>
      <c r="Q26" s="9" t="str">
        <f t="shared" si="1"/>
        <v>May</v>
      </c>
      <c r="R26" s="9">
        <v>141.14115000000001</v>
      </c>
      <c r="S26" s="15">
        <f t="shared" si="2"/>
        <v>820.26763499999993</v>
      </c>
      <c r="T26" s="9" t="str">
        <f t="shared" si="3"/>
        <v>Luxury</v>
      </c>
      <c r="U26" s="9" t="str">
        <f t="shared" si="4"/>
        <v>Complete</v>
      </c>
      <c r="V26" s="9">
        <f t="shared" si="5"/>
        <v>105</v>
      </c>
      <c r="W26" s="9">
        <f t="shared" si="6"/>
        <v>67</v>
      </c>
    </row>
    <row r="27" spans="1:23" x14ac:dyDescent="0.3">
      <c r="A27" s="9" t="s">
        <v>27</v>
      </c>
      <c r="B27" s="9" t="s">
        <v>114</v>
      </c>
      <c r="C27" s="9" t="s">
        <v>54</v>
      </c>
      <c r="D27" s="12">
        <v>32.298999999999999</v>
      </c>
      <c r="E27" s="13">
        <v>13.96</v>
      </c>
      <c r="F27" s="9">
        <v>1.8</v>
      </c>
      <c r="G27" s="9">
        <v>120</v>
      </c>
      <c r="H27" s="9">
        <v>97.1</v>
      </c>
      <c r="I27" s="9">
        <v>66.7</v>
      </c>
      <c r="J27" s="9">
        <v>174.3</v>
      </c>
      <c r="K27" s="9">
        <v>2.3980000000000001</v>
      </c>
      <c r="L27" s="9">
        <v>13.2</v>
      </c>
      <c r="M27" s="9">
        <v>33</v>
      </c>
      <c r="N27" s="13">
        <v>9.125</v>
      </c>
      <c r="O27" s="14">
        <v>40797</v>
      </c>
      <c r="P27" s="9">
        <f t="shared" si="0"/>
        <v>2011</v>
      </c>
      <c r="Q27" s="9" t="str">
        <f t="shared" si="1"/>
        <v>Sep</v>
      </c>
      <c r="R27" s="9">
        <v>48.297636099999998</v>
      </c>
      <c r="S27" s="15">
        <f t="shared" si="2"/>
        <v>450.89404000000002</v>
      </c>
      <c r="T27" s="9" t="str">
        <f t="shared" si="3"/>
        <v>Budget</v>
      </c>
      <c r="U27" s="9" t="str">
        <f t="shared" si="4"/>
        <v>Complete</v>
      </c>
      <c r="V27" s="9">
        <f t="shared" si="5"/>
        <v>75</v>
      </c>
      <c r="W27" s="9">
        <f t="shared" si="6"/>
        <v>108</v>
      </c>
    </row>
    <row r="28" spans="1:23" x14ac:dyDescent="0.3">
      <c r="A28" s="9" t="s">
        <v>27</v>
      </c>
      <c r="B28" s="9" t="s">
        <v>115</v>
      </c>
      <c r="C28" s="9" t="s">
        <v>54</v>
      </c>
      <c r="D28" s="12">
        <v>21.855</v>
      </c>
      <c r="E28" s="13">
        <v>9.2349999999999994</v>
      </c>
      <c r="F28" s="9">
        <v>1</v>
      </c>
      <c r="G28" s="9">
        <v>55</v>
      </c>
      <c r="H28" s="9">
        <v>93.1</v>
      </c>
      <c r="I28" s="9">
        <v>62.6</v>
      </c>
      <c r="J28" s="9">
        <v>149.4</v>
      </c>
      <c r="K28" s="9">
        <v>1.895</v>
      </c>
      <c r="L28" s="9">
        <v>10.3</v>
      </c>
      <c r="M28" s="9">
        <v>45</v>
      </c>
      <c r="N28" s="13">
        <v>5.16</v>
      </c>
      <c r="O28" s="14">
        <v>41012</v>
      </c>
      <c r="P28" s="9">
        <f t="shared" si="0"/>
        <v>2012</v>
      </c>
      <c r="Q28" s="9" t="str">
        <f t="shared" si="1"/>
        <v>Apr</v>
      </c>
      <c r="R28" s="9">
        <v>23.276272330000001</v>
      </c>
      <c r="S28" s="15">
        <f t="shared" si="2"/>
        <v>201.83092499999998</v>
      </c>
      <c r="T28" s="9" t="str">
        <f t="shared" si="3"/>
        <v>Budget</v>
      </c>
      <c r="U28" s="9" t="str">
        <f t="shared" si="4"/>
        <v>Complete</v>
      </c>
      <c r="V28" s="9">
        <f t="shared" si="5"/>
        <v>96</v>
      </c>
      <c r="W28" s="9">
        <f t="shared" si="6"/>
        <v>134</v>
      </c>
    </row>
    <row r="29" spans="1:23" x14ac:dyDescent="0.3">
      <c r="A29" s="9" t="s">
        <v>27</v>
      </c>
      <c r="B29" s="9" t="s">
        <v>116</v>
      </c>
      <c r="C29" s="9" t="s">
        <v>54</v>
      </c>
      <c r="D29" s="12">
        <v>107.995</v>
      </c>
      <c r="E29" s="13">
        <v>18.89</v>
      </c>
      <c r="F29" s="9">
        <v>3.4</v>
      </c>
      <c r="G29" s="9">
        <v>180</v>
      </c>
      <c r="H29" s="9">
        <v>110.5</v>
      </c>
      <c r="I29" s="9">
        <v>73</v>
      </c>
      <c r="J29" s="9">
        <v>200</v>
      </c>
      <c r="K29" s="9">
        <v>3.3889999999999998</v>
      </c>
      <c r="L29" s="9">
        <v>17</v>
      </c>
      <c r="M29" s="9">
        <v>27</v>
      </c>
      <c r="N29" s="13"/>
      <c r="O29" s="14">
        <v>40712</v>
      </c>
      <c r="P29" s="9">
        <f t="shared" si="0"/>
        <v>2011</v>
      </c>
      <c r="Q29" s="9" t="str">
        <f t="shared" si="1"/>
        <v>Jun</v>
      </c>
      <c r="R29" s="9">
        <v>71.838039440000003</v>
      </c>
      <c r="S29" s="15">
        <f t="shared" si="2"/>
        <v>2040.0255500000001</v>
      </c>
      <c r="T29" s="9" t="str">
        <f t="shared" si="3"/>
        <v>Mid-range</v>
      </c>
      <c r="U29" s="9" t="str">
        <f t="shared" si="4"/>
        <v>Incomplete</v>
      </c>
      <c r="V29" s="9">
        <f t="shared" si="5"/>
        <v>20</v>
      </c>
      <c r="W29" s="9">
        <f t="shared" si="6"/>
        <v>22</v>
      </c>
    </row>
    <row r="30" spans="1:23" x14ac:dyDescent="0.3">
      <c r="A30" s="9" t="s">
        <v>28</v>
      </c>
      <c r="B30" s="9" t="s">
        <v>117</v>
      </c>
      <c r="C30" s="9" t="s">
        <v>54</v>
      </c>
      <c r="D30" s="12">
        <v>7.8540000000000001</v>
      </c>
      <c r="E30" s="13">
        <v>19.84</v>
      </c>
      <c r="F30" s="9">
        <v>2.5</v>
      </c>
      <c r="G30" s="9">
        <v>163</v>
      </c>
      <c r="H30" s="9">
        <v>103.7</v>
      </c>
      <c r="I30" s="9">
        <v>69.7</v>
      </c>
      <c r="J30" s="9">
        <v>190.9</v>
      </c>
      <c r="K30" s="9">
        <v>2.9670000000000001</v>
      </c>
      <c r="L30" s="9">
        <v>15.9</v>
      </c>
      <c r="M30" s="9">
        <v>24</v>
      </c>
      <c r="N30" s="13">
        <v>12.36</v>
      </c>
      <c r="O30" s="14">
        <v>40924</v>
      </c>
      <c r="P30" s="9">
        <f t="shared" si="0"/>
        <v>2012</v>
      </c>
      <c r="Q30" s="9" t="str">
        <f t="shared" si="1"/>
        <v>Jan</v>
      </c>
      <c r="R30" s="9">
        <v>65.957183959999995</v>
      </c>
      <c r="S30" s="15">
        <f t="shared" si="2"/>
        <v>155.82336000000001</v>
      </c>
      <c r="T30" s="9" t="str">
        <f t="shared" si="3"/>
        <v>Mid-range</v>
      </c>
      <c r="U30" s="9" t="str">
        <f t="shared" si="4"/>
        <v>Complete</v>
      </c>
      <c r="V30" s="9">
        <f t="shared" si="5"/>
        <v>137</v>
      </c>
      <c r="W30" s="9">
        <f t="shared" si="6"/>
        <v>138</v>
      </c>
    </row>
    <row r="31" spans="1:23" x14ac:dyDescent="0.3">
      <c r="A31" s="9" t="s">
        <v>28</v>
      </c>
      <c r="B31" s="9" t="s">
        <v>118</v>
      </c>
      <c r="C31" s="9" t="s">
        <v>54</v>
      </c>
      <c r="D31" s="12">
        <v>32.774999999999999</v>
      </c>
      <c r="E31" s="13">
        <v>24.495000000000001</v>
      </c>
      <c r="F31" s="9">
        <v>2.5</v>
      </c>
      <c r="G31" s="9">
        <v>168</v>
      </c>
      <c r="H31" s="9">
        <v>106</v>
      </c>
      <c r="I31" s="9">
        <v>69.2</v>
      </c>
      <c r="J31" s="9">
        <v>193</v>
      </c>
      <c r="K31" s="9">
        <v>3.3319999999999999</v>
      </c>
      <c r="L31" s="9">
        <v>16</v>
      </c>
      <c r="M31" s="9">
        <v>24</v>
      </c>
      <c r="N31" s="13">
        <v>14.18</v>
      </c>
      <c r="O31" s="14">
        <v>40864</v>
      </c>
      <c r="P31" s="9">
        <f t="shared" si="0"/>
        <v>2011</v>
      </c>
      <c r="Q31" s="9" t="str">
        <f t="shared" si="1"/>
        <v>Nov</v>
      </c>
      <c r="R31" s="9">
        <v>69.521355049999997</v>
      </c>
      <c r="S31" s="15">
        <f t="shared" si="2"/>
        <v>802.82362499999999</v>
      </c>
      <c r="T31" s="9" t="str">
        <f t="shared" si="3"/>
        <v>Mid-range</v>
      </c>
      <c r="U31" s="9" t="str">
        <f t="shared" si="4"/>
        <v>Complete</v>
      </c>
      <c r="V31" s="9">
        <f t="shared" si="5"/>
        <v>72</v>
      </c>
      <c r="W31" s="9">
        <f t="shared" si="6"/>
        <v>70</v>
      </c>
    </row>
    <row r="32" spans="1:23" x14ac:dyDescent="0.3">
      <c r="A32" s="9" t="s">
        <v>28</v>
      </c>
      <c r="B32" s="9" t="s">
        <v>119</v>
      </c>
      <c r="C32" s="9" t="s">
        <v>54</v>
      </c>
      <c r="D32" s="12">
        <v>31.148</v>
      </c>
      <c r="E32" s="13">
        <v>22.245000000000001</v>
      </c>
      <c r="F32" s="9">
        <v>2.7</v>
      </c>
      <c r="G32" s="9">
        <v>200</v>
      </c>
      <c r="H32" s="9">
        <v>113</v>
      </c>
      <c r="I32" s="9">
        <v>74.400000000000006</v>
      </c>
      <c r="J32" s="9">
        <v>209.1</v>
      </c>
      <c r="K32" s="9">
        <v>3.452</v>
      </c>
      <c r="L32" s="9">
        <v>17</v>
      </c>
      <c r="M32" s="9">
        <v>26</v>
      </c>
      <c r="N32" s="13">
        <v>13.725</v>
      </c>
      <c r="O32" s="14">
        <v>41066</v>
      </c>
      <c r="P32" s="9">
        <f t="shared" si="0"/>
        <v>2012</v>
      </c>
      <c r="Q32" s="9" t="str">
        <f t="shared" si="1"/>
        <v>Jun</v>
      </c>
      <c r="R32" s="9">
        <v>80.02378204</v>
      </c>
      <c r="S32" s="15">
        <f t="shared" si="2"/>
        <v>692.88725999999997</v>
      </c>
      <c r="T32" s="9" t="str">
        <f t="shared" si="3"/>
        <v>Mid-range</v>
      </c>
      <c r="U32" s="9" t="str">
        <f t="shared" si="4"/>
        <v>Complete</v>
      </c>
      <c r="V32" s="9">
        <f t="shared" si="5"/>
        <v>76</v>
      </c>
      <c r="W32" s="9">
        <f t="shared" si="6"/>
        <v>79</v>
      </c>
    </row>
    <row r="33" spans="1:23" x14ac:dyDescent="0.3">
      <c r="A33" s="9" t="s">
        <v>28</v>
      </c>
      <c r="B33" s="9" t="s">
        <v>120</v>
      </c>
      <c r="C33" s="9" t="s">
        <v>54</v>
      </c>
      <c r="D33" s="12">
        <v>32.305999999999997</v>
      </c>
      <c r="E33" s="13">
        <v>16.48</v>
      </c>
      <c r="F33" s="9">
        <v>2</v>
      </c>
      <c r="G33" s="9">
        <v>132</v>
      </c>
      <c r="H33" s="9">
        <v>108</v>
      </c>
      <c r="I33" s="9">
        <v>71</v>
      </c>
      <c r="J33" s="9">
        <v>186</v>
      </c>
      <c r="K33" s="9">
        <v>2.911</v>
      </c>
      <c r="L33" s="9">
        <v>16</v>
      </c>
      <c r="M33" s="9">
        <v>27</v>
      </c>
      <c r="N33" s="13">
        <v>12.64</v>
      </c>
      <c r="O33" s="14">
        <v>40822</v>
      </c>
      <c r="P33" s="9">
        <f t="shared" si="0"/>
        <v>2011</v>
      </c>
      <c r="Q33" s="9" t="str">
        <f t="shared" si="1"/>
        <v>Oct</v>
      </c>
      <c r="R33" s="9">
        <v>53.566199869999998</v>
      </c>
      <c r="S33" s="15">
        <f t="shared" si="2"/>
        <v>532.40287999999998</v>
      </c>
      <c r="T33" s="9" t="str">
        <f t="shared" si="3"/>
        <v>Mid-range</v>
      </c>
      <c r="U33" s="9" t="str">
        <f t="shared" si="4"/>
        <v>Complete</v>
      </c>
      <c r="V33" s="9">
        <f t="shared" si="5"/>
        <v>74</v>
      </c>
      <c r="W33" s="9">
        <f t="shared" si="6"/>
        <v>97</v>
      </c>
    </row>
    <row r="34" spans="1:23" x14ac:dyDescent="0.3">
      <c r="A34" s="9" t="s">
        <v>28</v>
      </c>
      <c r="B34" s="9" t="s">
        <v>121</v>
      </c>
      <c r="C34" s="9" t="s">
        <v>54</v>
      </c>
      <c r="D34" s="12">
        <v>13.462</v>
      </c>
      <c r="E34" s="13">
        <v>28.34</v>
      </c>
      <c r="F34" s="9">
        <v>3.5</v>
      </c>
      <c r="G34" s="9">
        <v>253</v>
      </c>
      <c r="H34" s="9">
        <v>113</v>
      </c>
      <c r="I34" s="9">
        <v>74.400000000000006</v>
      </c>
      <c r="J34" s="9">
        <v>207.7</v>
      </c>
      <c r="K34" s="9">
        <v>3.5640000000000001</v>
      </c>
      <c r="L34" s="9">
        <v>17</v>
      </c>
      <c r="M34" s="9">
        <v>23</v>
      </c>
      <c r="N34" s="13">
        <v>17.324999999999999</v>
      </c>
      <c r="O34" s="14">
        <v>41037</v>
      </c>
      <c r="P34" s="9">
        <f t="shared" ref="P34:P65" si="7">YEAR(O34)</f>
        <v>2012</v>
      </c>
      <c r="Q34" s="9" t="str">
        <f t="shared" ref="Q34:Q65" si="8">TEXT(O34,"mmm")</f>
        <v>May</v>
      </c>
      <c r="R34" s="9">
        <v>101.3292807</v>
      </c>
      <c r="S34" s="15">
        <f t="shared" ref="S34:S65" si="9">IFERROR(D34*E34,"")</f>
        <v>381.51308</v>
      </c>
      <c r="T34" s="9" t="str">
        <f t="shared" ref="T34:T65" si="10">IF(E34="","Unknown",_xlfn.IFS(E34&lt;15,"Budget",E34&lt;30,"Mid-range",TRUE(),"Luxury"))</f>
        <v>Mid-range</v>
      </c>
      <c r="U34" s="9" t="str">
        <f t="shared" ref="U34:U65" si="11">IF(COUNTBLANK(D34:R34)&gt;0,"Incomplete","Complete")</f>
        <v>Complete</v>
      </c>
      <c r="V34" s="9">
        <f t="shared" ref="V34:V65" si="12">IFERROR(RANK(D34,$D$2:$D$158),"")</f>
        <v>120</v>
      </c>
      <c r="W34" s="9">
        <f t="shared" ref="W34:W65" si="13">IFERROR(RANK(S34,$S$2:$S$158),"")</f>
        <v>116</v>
      </c>
    </row>
    <row r="35" spans="1:23" x14ac:dyDescent="0.3">
      <c r="A35" s="9" t="s">
        <v>28</v>
      </c>
      <c r="B35" s="9" t="s">
        <v>122</v>
      </c>
      <c r="C35" s="9" t="s">
        <v>55</v>
      </c>
      <c r="D35" s="12">
        <v>53.48</v>
      </c>
      <c r="E35" s="13"/>
      <c r="F35" s="9"/>
      <c r="G35" s="9"/>
      <c r="H35" s="9"/>
      <c r="I35" s="9"/>
      <c r="J35" s="9"/>
      <c r="K35" s="9"/>
      <c r="L35" s="9"/>
      <c r="M35" s="9"/>
      <c r="N35" s="13">
        <v>19.54</v>
      </c>
      <c r="O35" s="14">
        <v>40737</v>
      </c>
      <c r="P35" s="9">
        <f t="shared" si="7"/>
        <v>2011</v>
      </c>
      <c r="Q35" s="9" t="str">
        <f t="shared" si="8"/>
        <v>Jul</v>
      </c>
      <c r="R35" s="9"/>
      <c r="S35" s="15">
        <f t="shared" si="9"/>
        <v>0</v>
      </c>
      <c r="T35" s="9" t="str">
        <f t="shared" si="10"/>
        <v>Unknown</v>
      </c>
      <c r="U35" s="9" t="str">
        <f t="shared" si="11"/>
        <v>Incomplete</v>
      </c>
      <c r="V35" s="9">
        <f t="shared" si="12"/>
        <v>50</v>
      </c>
      <c r="W35" s="9">
        <f t="shared" si="13"/>
        <v>156</v>
      </c>
    </row>
    <row r="36" spans="1:23" x14ac:dyDescent="0.3">
      <c r="A36" s="9" t="s">
        <v>28</v>
      </c>
      <c r="B36" s="9" t="s">
        <v>123</v>
      </c>
      <c r="C36" s="9" t="s">
        <v>54</v>
      </c>
      <c r="D36" s="12">
        <v>30.696000000000002</v>
      </c>
      <c r="E36" s="13">
        <v>29.184999999999999</v>
      </c>
      <c r="F36" s="9">
        <v>3.5</v>
      </c>
      <c r="G36" s="9">
        <v>253</v>
      </c>
      <c r="H36" s="9">
        <v>113</v>
      </c>
      <c r="I36" s="9">
        <v>74.400000000000006</v>
      </c>
      <c r="J36" s="9">
        <v>197.8</v>
      </c>
      <c r="K36" s="9">
        <v>3.5670000000000002</v>
      </c>
      <c r="L36" s="9">
        <v>17</v>
      </c>
      <c r="M36" s="9">
        <v>23</v>
      </c>
      <c r="N36" s="13"/>
      <c r="O36" s="14">
        <v>40949</v>
      </c>
      <c r="P36" s="9">
        <f t="shared" si="7"/>
        <v>2012</v>
      </c>
      <c r="Q36" s="9" t="str">
        <f t="shared" si="8"/>
        <v>Feb</v>
      </c>
      <c r="R36" s="9">
        <v>101.6552441</v>
      </c>
      <c r="S36" s="15">
        <f t="shared" si="9"/>
        <v>895.86275999999998</v>
      </c>
      <c r="T36" s="9" t="str">
        <f t="shared" si="10"/>
        <v>Mid-range</v>
      </c>
      <c r="U36" s="9" t="str">
        <f t="shared" si="11"/>
        <v>Incomplete</v>
      </c>
      <c r="V36" s="9">
        <f t="shared" si="12"/>
        <v>78</v>
      </c>
      <c r="W36" s="9">
        <f t="shared" si="13"/>
        <v>60</v>
      </c>
    </row>
    <row r="37" spans="1:23" x14ac:dyDescent="0.3">
      <c r="A37" s="9" t="s">
        <v>29</v>
      </c>
      <c r="B37" s="9" t="s">
        <v>124</v>
      </c>
      <c r="C37" s="9" t="s">
        <v>54</v>
      </c>
      <c r="D37" s="12">
        <v>76.034000000000006</v>
      </c>
      <c r="E37" s="13">
        <v>12.64</v>
      </c>
      <c r="F37" s="9">
        <v>2</v>
      </c>
      <c r="G37" s="9">
        <v>132</v>
      </c>
      <c r="H37" s="9">
        <v>105</v>
      </c>
      <c r="I37" s="9">
        <v>74.400000000000006</v>
      </c>
      <c r="J37" s="9">
        <v>174.4</v>
      </c>
      <c r="K37" s="9">
        <v>2.5670000000000002</v>
      </c>
      <c r="L37" s="9">
        <v>12.5</v>
      </c>
      <c r="M37" s="9">
        <v>29</v>
      </c>
      <c r="N37" s="13">
        <v>7.75</v>
      </c>
      <c r="O37" s="14">
        <v>40889</v>
      </c>
      <c r="P37" s="9">
        <f t="shared" si="7"/>
        <v>2011</v>
      </c>
      <c r="Q37" s="9" t="str">
        <f t="shared" si="8"/>
        <v>Dec</v>
      </c>
      <c r="R37" s="9">
        <v>52.084898750000001</v>
      </c>
      <c r="S37" s="15">
        <f t="shared" si="9"/>
        <v>961.06976000000009</v>
      </c>
      <c r="T37" s="9" t="str">
        <f t="shared" si="10"/>
        <v>Budget</v>
      </c>
      <c r="U37" s="9" t="str">
        <f t="shared" si="11"/>
        <v>Complete</v>
      </c>
      <c r="V37" s="9">
        <f t="shared" si="12"/>
        <v>34</v>
      </c>
      <c r="W37" s="9">
        <f t="shared" si="13"/>
        <v>58</v>
      </c>
    </row>
    <row r="38" spans="1:23" x14ac:dyDescent="0.3">
      <c r="A38" s="9" t="s">
        <v>29</v>
      </c>
      <c r="B38" s="9" t="s">
        <v>125</v>
      </c>
      <c r="C38" s="9" t="s">
        <v>54</v>
      </c>
      <c r="D38" s="12">
        <v>4.734</v>
      </c>
      <c r="E38" s="13">
        <v>19.045000000000002</v>
      </c>
      <c r="F38" s="9">
        <v>2.5</v>
      </c>
      <c r="G38" s="9">
        <v>163</v>
      </c>
      <c r="H38" s="9">
        <v>103.7</v>
      </c>
      <c r="I38" s="9">
        <v>69.099999999999994</v>
      </c>
      <c r="J38" s="9">
        <v>190.2</v>
      </c>
      <c r="K38" s="9">
        <v>2.879</v>
      </c>
      <c r="L38" s="9">
        <v>15.9</v>
      </c>
      <c r="M38" s="9">
        <v>24</v>
      </c>
      <c r="N38" s="13">
        <v>12.545</v>
      </c>
      <c r="O38" s="14">
        <v>41091</v>
      </c>
      <c r="P38" s="9">
        <f t="shared" si="7"/>
        <v>2012</v>
      </c>
      <c r="Q38" s="9" t="str">
        <f t="shared" si="8"/>
        <v>Jul</v>
      </c>
      <c r="R38" s="9">
        <v>65.650508340000002</v>
      </c>
      <c r="S38" s="15">
        <f t="shared" si="9"/>
        <v>90.159030000000001</v>
      </c>
      <c r="T38" s="9" t="str">
        <f t="shared" si="10"/>
        <v>Mid-range</v>
      </c>
      <c r="U38" s="9" t="str">
        <f t="shared" si="11"/>
        <v>Complete</v>
      </c>
      <c r="V38" s="9">
        <f t="shared" si="12"/>
        <v>144</v>
      </c>
      <c r="W38" s="9">
        <f t="shared" si="13"/>
        <v>145</v>
      </c>
    </row>
    <row r="39" spans="1:23" x14ac:dyDescent="0.3">
      <c r="A39" s="9" t="s">
        <v>29</v>
      </c>
      <c r="B39" s="9" t="s">
        <v>126</v>
      </c>
      <c r="C39" s="9" t="s">
        <v>54</v>
      </c>
      <c r="D39" s="12">
        <v>71.186000000000007</v>
      </c>
      <c r="E39" s="13">
        <v>20.23</v>
      </c>
      <c r="F39" s="9">
        <v>2.5</v>
      </c>
      <c r="G39" s="9">
        <v>168</v>
      </c>
      <c r="H39" s="9">
        <v>108</v>
      </c>
      <c r="I39" s="9">
        <v>71</v>
      </c>
      <c r="J39" s="9">
        <v>186</v>
      </c>
      <c r="K39" s="9">
        <v>3.0579999999999998</v>
      </c>
      <c r="L39" s="9">
        <v>16</v>
      </c>
      <c r="M39" s="9">
        <v>24</v>
      </c>
      <c r="N39" s="13">
        <v>10.185</v>
      </c>
      <c r="O39" s="14">
        <v>40847</v>
      </c>
      <c r="P39" s="9">
        <f t="shared" si="7"/>
        <v>2011</v>
      </c>
      <c r="Q39" s="9" t="str">
        <f t="shared" si="8"/>
        <v>Oct</v>
      </c>
      <c r="R39" s="9">
        <v>67.876107840000003</v>
      </c>
      <c r="S39" s="15">
        <f t="shared" si="9"/>
        <v>1440.0927800000002</v>
      </c>
      <c r="T39" s="9" t="str">
        <f t="shared" si="10"/>
        <v>Mid-range</v>
      </c>
      <c r="U39" s="9" t="str">
        <f t="shared" si="11"/>
        <v>Complete</v>
      </c>
      <c r="V39" s="9">
        <f t="shared" si="12"/>
        <v>37</v>
      </c>
      <c r="W39" s="9">
        <f t="shared" si="13"/>
        <v>39</v>
      </c>
    </row>
    <row r="40" spans="1:23" x14ac:dyDescent="0.3">
      <c r="A40" s="9" t="s">
        <v>29</v>
      </c>
      <c r="B40" s="9" t="s">
        <v>127</v>
      </c>
      <c r="C40" s="9" t="s">
        <v>54</v>
      </c>
      <c r="D40" s="12">
        <v>88.028000000000006</v>
      </c>
      <c r="E40" s="13">
        <v>22.504999999999999</v>
      </c>
      <c r="F40" s="9">
        <v>2.7</v>
      </c>
      <c r="G40" s="9">
        <v>202</v>
      </c>
      <c r="H40" s="9">
        <v>113</v>
      </c>
      <c r="I40" s="9">
        <v>74.7</v>
      </c>
      <c r="J40" s="9">
        <v>203.7</v>
      </c>
      <c r="K40" s="9">
        <v>3.4889999999999999</v>
      </c>
      <c r="L40" s="9">
        <v>17</v>
      </c>
      <c r="M40" s="9"/>
      <c r="N40" s="13">
        <v>12.275</v>
      </c>
      <c r="O40" s="14">
        <v>41062</v>
      </c>
      <c r="P40" s="9">
        <f t="shared" si="7"/>
        <v>2012</v>
      </c>
      <c r="Q40" s="9" t="str">
        <f t="shared" si="8"/>
        <v>Jun</v>
      </c>
      <c r="R40" s="9">
        <v>80.831470170000003</v>
      </c>
      <c r="S40" s="15">
        <f t="shared" si="9"/>
        <v>1981.07014</v>
      </c>
      <c r="T40" s="9" t="str">
        <f t="shared" si="10"/>
        <v>Mid-range</v>
      </c>
      <c r="U40" s="9" t="str">
        <f t="shared" si="11"/>
        <v>Incomplete</v>
      </c>
      <c r="V40" s="9">
        <f t="shared" si="12"/>
        <v>25</v>
      </c>
      <c r="W40" s="9">
        <f t="shared" si="13"/>
        <v>25</v>
      </c>
    </row>
    <row r="41" spans="1:23" x14ac:dyDescent="0.3">
      <c r="A41" s="9" t="s">
        <v>29</v>
      </c>
      <c r="B41" s="9" t="s">
        <v>128</v>
      </c>
      <c r="C41" s="9" t="s">
        <v>54</v>
      </c>
      <c r="D41" s="12">
        <v>0.91600000000000004</v>
      </c>
      <c r="E41" s="13">
        <v>69.724999999999994</v>
      </c>
      <c r="F41" s="9">
        <v>8</v>
      </c>
      <c r="G41" s="9">
        <v>450</v>
      </c>
      <c r="H41" s="9">
        <v>96.2</v>
      </c>
      <c r="I41" s="9">
        <v>75.7</v>
      </c>
      <c r="J41" s="9">
        <v>176.7</v>
      </c>
      <c r="K41" s="9">
        <v>3.375</v>
      </c>
      <c r="L41" s="9">
        <v>19</v>
      </c>
      <c r="M41" s="9">
        <v>16</v>
      </c>
      <c r="N41" s="13">
        <v>58.47</v>
      </c>
      <c r="O41" s="14">
        <v>40762</v>
      </c>
      <c r="P41" s="9">
        <f t="shared" si="7"/>
        <v>2011</v>
      </c>
      <c r="Q41" s="9" t="str">
        <f t="shared" si="8"/>
        <v>Aug</v>
      </c>
      <c r="R41" s="9">
        <v>188.14432300000001</v>
      </c>
      <c r="S41" s="15">
        <f t="shared" si="9"/>
        <v>63.868099999999998</v>
      </c>
      <c r="T41" s="9" t="str">
        <f t="shared" si="10"/>
        <v>Luxury</v>
      </c>
      <c r="U41" s="9" t="str">
        <f t="shared" si="11"/>
        <v>Complete</v>
      </c>
      <c r="V41" s="9">
        <f t="shared" si="12"/>
        <v>156</v>
      </c>
      <c r="W41" s="9">
        <f t="shared" si="13"/>
        <v>152</v>
      </c>
    </row>
    <row r="42" spans="1:23" x14ac:dyDescent="0.3">
      <c r="A42" s="9" t="s">
        <v>29</v>
      </c>
      <c r="B42" s="9" t="s">
        <v>129</v>
      </c>
      <c r="C42" s="9" t="s">
        <v>55</v>
      </c>
      <c r="D42" s="12">
        <v>227.06100000000001</v>
      </c>
      <c r="E42" s="13">
        <v>19.46</v>
      </c>
      <c r="F42" s="9">
        <v>5.2</v>
      </c>
      <c r="G42" s="9">
        <v>230</v>
      </c>
      <c r="H42" s="9">
        <v>138.69999999999999</v>
      </c>
      <c r="I42" s="9">
        <v>79.3</v>
      </c>
      <c r="J42" s="9">
        <v>224.2</v>
      </c>
      <c r="K42" s="9">
        <v>4.47</v>
      </c>
      <c r="L42" s="9">
        <v>26</v>
      </c>
      <c r="M42" s="9">
        <v>17</v>
      </c>
      <c r="N42" s="13">
        <v>15.06</v>
      </c>
      <c r="O42" s="14">
        <v>40974</v>
      </c>
      <c r="P42" s="9">
        <f t="shared" si="7"/>
        <v>2012</v>
      </c>
      <c r="Q42" s="9" t="str">
        <f t="shared" si="8"/>
        <v>Mar</v>
      </c>
      <c r="R42" s="9">
        <v>90.211700050000005</v>
      </c>
      <c r="S42" s="15">
        <f t="shared" si="9"/>
        <v>4418.6070600000003</v>
      </c>
      <c r="T42" s="9" t="str">
        <f t="shared" si="10"/>
        <v>Mid-range</v>
      </c>
      <c r="U42" s="9" t="str">
        <f t="shared" si="11"/>
        <v>Complete</v>
      </c>
      <c r="V42" s="9">
        <f t="shared" si="12"/>
        <v>6</v>
      </c>
      <c r="W42" s="9">
        <f t="shared" si="13"/>
        <v>4</v>
      </c>
    </row>
    <row r="43" spans="1:23" x14ac:dyDescent="0.3">
      <c r="A43" s="9" t="s">
        <v>29</v>
      </c>
      <c r="B43" s="9" t="s">
        <v>130</v>
      </c>
      <c r="C43" s="9" t="s">
        <v>55</v>
      </c>
      <c r="D43" s="12">
        <v>16.766999999999999</v>
      </c>
      <c r="E43" s="13">
        <v>21.315000000000001</v>
      </c>
      <c r="F43" s="9">
        <v>3.9</v>
      </c>
      <c r="G43" s="9">
        <v>175</v>
      </c>
      <c r="H43" s="9">
        <v>109.6</v>
      </c>
      <c r="I43" s="9">
        <v>78.8</v>
      </c>
      <c r="J43" s="9">
        <v>192.6</v>
      </c>
      <c r="K43" s="9">
        <v>4.2450000000000001</v>
      </c>
      <c r="L43" s="9">
        <v>32</v>
      </c>
      <c r="M43" s="9">
        <v>15</v>
      </c>
      <c r="N43" s="13">
        <v>15.51</v>
      </c>
      <c r="O43" s="14">
        <v>40914</v>
      </c>
      <c r="P43" s="9">
        <f t="shared" si="7"/>
        <v>2012</v>
      </c>
      <c r="Q43" s="9" t="str">
        <f t="shared" si="8"/>
        <v>Jan</v>
      </c>
      <c r="R43" s="9">
        <v>71.135291609999996</v>
      </c>
      <c r="S43" s="15">
        <f t="shared" si="9"/>
        <v>357.38860499999998</v>
      </c>
      <c r="T43" s="9" t="str">
        <f t="shared" si="10"/>
        <v>Mid-range</v>
      </c>
      <c r="U43" s="9" t="str">
        <f t="shared" si="11"/>
        <v>Complete</v>
      </c>
      <c r="V43" s="9">
        <f t="shared" si="12"/>
        <v>111</v>
      </c>
      <c r="W43" s="9">
        <f t="shared" si="13"/>
        <v>122</v>
      </c>
    </row>
    <row r="44" spans="1:23" x14ac:dyDescent="0.3">
      <c r="A44" s="9" t="s">
        <v>29</v>
      </c>
      <c r="B44" s="9" t="s">
        <v>131</v>
      </c>
      <c r="C44" s="9" t="s">
        <v>55</v>
      </c>
      <c r="D44" s="12">
        <v>31.038</v>
      </c>
      <c r="E44" s="13">
        <v>18.574999999999999</v>
      </c>
      <c r="F44" s="9">
        <v>3.9</v>
      </c>
      <c r="G44" s="9">
        <v>175</v>
      </c>
      <c r="H44" s="9">
        <v>127.2</v>
      </c>
      <c r="I44" s="9">
        <v>78.8</v>
      </c>
      <c r="J44" s="9">
        <v>208.5</v>
      </c>
      <c r="K44" s="9">
        <v>4.298</v>
      </c>
      <c r="L44" s="9">
        <v>32</v>
      </c>
      <c r="M44" s="9">
        <v>16</v>
      </c>
      <c r="N44" s="13">
        <v>13.425000000000001</v>
      </c>
      <c r="O44" s="14">
        <v>41116</v>
      </c>
      <c r="P44" s="9">
        <f t="shared" si="7"/>
        <v>2012</v>
      </c>
      <c r="Q44" s="9" t="str">
        <f t="shared" si="8"/>
        <v>Jul</v>
      </c>
      <c r="R44" s="9">
        <v>70.078321540000005</v>
      </c>
      <c r="S44" s="15">
        <f t="shared" si="9"/>
        <v>576.53084999999999</v>
      </c>
      <c r="T44" s="9" t="str">
        <f t="shared" si="10"/>
        <v>Mid-range</v>
      </c>
      <c r="U44" s="9" t="str">
        <f t="shared" si="11"/>
        <v>Complete</v>
      </c>
      <c r="V44" s="9">
        <f t="shared" si="12"/>
        <v>77</v>
      </c>
      <c r="W44" s="9">
        <f t="shared" si="13"/>
        <v>91</v>
      </c>
    </row>
    <row r="45" spans="1:23" x14ac:dyDescent="0.3">
      <c r="A45" s="9" t="s">
        <v>29</v>
      </c>
      <c r="B45" s="9" t="s">
        <v>132</v>
      </c>
      <c r="C45" s="9" t="s">
        <v>55</v>
      </c>
      <c r="D45" s="12">
        <v>111.313</v>
      </c>
      <c r="E45" s="13">
        <v>16.98</v>
      </c>
      <c r="F45" s="9">
        <v>2.5</v>
      </c>
      <c r="G45" s="9">
        <v>120</v>
      </c>
      <c r="H45" s="9">
        <v>131</v>
      </c>
      <c r="I45" s="9">
        <v>71.5</v>
      </c>
      <c r="J45" s="9">
        <v>215</v>
      </c>
      <c r="K45" s="9">
        <v>3.5569999999999999</v>
      </c>
      <c r="L45" s="9">
        <v>22</v>
      </c>
      <c r="M45" s="9">
        <v>19</v>
      </c>
      <c r="N45" s="13">
        <v>11.26</v>
      </c>
      <c r="O45" s="14">
        <v>40872</v>
      </c>
      <c r="P45" s="9">
        <f t="shared" si="7"/>
        <v>2011</v>
      </c>
      <c r="Q45" s="9" t="str">
        <f t="shared" si="8"/>
        <v>Nov</v>
      </c>
      <c r="R45" s="9">
        <v>49.64500177</v>
      </c>
      <c r="S45" s="15">
        <f t="shared" si="9"/>
        <v>1890.09474</v>
      </c>
      <c r="T45" s="9" t="str">
        <f t="shared" si="10"/>
        <v>Mid-range</v>
      </c>
      <c r="U45" s="9" t="str">
        <f t="shared" si="11"/>
        <v>Complete</v>
      </c>
      <c r="V45" s="9">
        <f t="shared" si="12"/>
        <v>19</v>
      </c>
      <c r="W45" s="9">
        <f t="shared" si="13"/>
        <v>28</v>
      </c>
    </row>
    <row r="46" spans="1:23" x14ac:dyDescent="0.3">
      <c r="A46" s="9" t="s">
        <v>29</v>
      </c>
      <c r="B46" s="9" t="s">
        <v>133</v>
      </c>
      <c r="C46" s="9" t="s">
        <v>55</v>
      </c>
      <c r="D46" s="12">
        <v>101.32299999999999</v>
      </c>
      <c r="E46" s="13">
        <v>26.31</v>
      </c>
      <c r="F46" s="9">
        <v>5.2</v>
      </c>
      <c r="G46" s="9">
        <v>230</v>
      </c>
      <c r="H46" s="9">
        <v>115.7</v>
      </c>
      <c r="I46" s="9">
        <v>71.7</v>
      </c>
      <c r="J46" s="9">
        <v>193.5</v>
      </c>
      <c r="K46" s="9">
        <v>4.3940000000000001</v>
      </c>
      <c r="L46" s="9">
        <v>25</v>
      </c>
      <c r="M46" s="9">
        <v>17</v>
      </c>
      <c r="N46" s="13"/>
      <c r="O46" s="14">
        <v>41087</v>
      </c>
      <c r="P46" s="9">
        <f t="shared" si="7"/>
        <v>2012</v>
      </c>
      <c r="Q46" s="9" t="str">
        <f t="shared" si="8"/>
        <v>Jun</v>
      </c>
      <c r="R46" s="9">
        <v>92.85412522</v>
      </c>
      <c r="S46" s="15">
        <f t="shared" si="9"/>
        <v>2665.8081299999999</v>
      </c>
      <c r="T46" s="9" t="str">
        <f t="shared" si="10"/>
        <v>Mid-range</v>
      </c>
      <c r="U46" s="9" t="str">
        <f t="shared" si="11"/>
        <v>Incomplete</v>
      </c>
      <c r="V46" s="9">
        <f t="shared" si="12"/>
        <v>21</v>
      </c>
      <c r="W46" s="9">
        <f t="shared" si="13"/>
        <v>11</v>
      </c>
    </row>
    <row r="47" spans="1:23" x14ac:dyDescent="0.3">
      <c r="A47" s="9" t="s">
        <v>29</v>
      </c>
      <c r="B47" s="9" t="s">
        <v>134</v>
      </c>
      <c r="C47" s="9" t="s">
        <v>55</v>
      </c>
      <c r="D47" s="12">
        <v>181.749</v>
      </c>
      <c r="E47" s="13">
        <v>19.565000000000001</v>
      </c>
      <c r="F47" s="9">
        <v>2.4</v>
      </c>
      <c r="G47" s="9">
        <v>150</v>
      </c>
      <c r="H47" s="9">
        <v>113.3</v>
      </c>
      <c r="I47" s="9">
        <v>76.8</v>
      </c>
      <c r="J47" s="9">
        <v>186.3</v>
      </c>
      <c r="K47" s="9">
        <v>3.5329999999999999</v>
      </c>
      <c r="L47" s="9">
        <v>20</v>
      </c>
      <c r="M47" s="9">
        <v>24</v>
      </c>
      <c r="N47" s="13">
        <v>12.025</v>
      </c>
      <c r="O47" s="14">
        <v>40787</v>
      </c>
      <c r="P47" s="9">
        <f t="shared" si="7"/>
        <v>2011</v>
      </c>
      <c r="Q47" s="9" t="str">
        <f t="shared" si="8"/>
        <v>Sep</v>
      </c>
      <c r="R47" s="9">
        <v>61.227000310000001</v>
      </c>
      <c r="S47" s="15">
        <f t="shared" si="9"/>
        <v>3555.9191850000002</v>
      </c>
      <c r="T47" s="9" t="str">
        <f t="shared" si="10"/>
        <v>Mid-range</v>
      </c>
      <c r="U47" s="9" t="str">
        <f t="shared" si="11"/>
        <v>Complete</v>
      </c>
      <c r="V47" s="9">
        <f t="shared" si="12"/>
        <v>9</v>
      </c>
      <c r="W47" s="9">
        <f t="shared" si="13"/>
        <v>8</v>
      </c>
    </row>
    <row r="48" spans="1:23" x14ac:dyDescent="0.3">
      <c r="A48" s="9" t="s">
        <v>30</v>
      </c>
      <c r="B48" s="9" t="s">
        <v>135</v>
      </c>
      <c r="C48" s="9" t="s">
        <v>54</v>
      </c>
      <c r="D48" s="12">
        <v>70.227000000000004</v>
      </c>
      <c r="E48" s="13">
        <v>12.07</v>
      </c>
      <c r="F48" s="9">
        <v>2</v>
      </c>
      <c r="G48" s="9">
        <v>110</v>
      </c>
      <c r="H48" s="9">
        <v>98.4</v>
      </c>
      <c r="I48" s="9">
        <v>67</v>
      </c>
      <c r="J48" s="9">
        <v>174.7</v>
      </c>
      <c r="K48" s="9">
        <v>2.468</v>
      </c>
      <c r="L48" s="9">
        <v>12.7</v>
      </c>
      <c r="M48" s="9">
        <v>30</v>
      </c>
      <c r="N48" s="13">
        <v>7.4249999999999998</v>
      </c>
      <c r="O48" s="14">
        <v>40999</v>
      </c>
      <c r="P48" s="9">
        <f t="shared" si="7"/>
        <v>2012</v>
      </c>
      <c r="Q48" s="9" t="str">
        <f t="shared" si="8"/>
        <v>Mar</v>
      </c>
      <c r="R48" s="9">
        <v>44.083709460000001</v>
      </c>
      <c r="S48" s="15">
        <f t="shared" si="9"/>
        <v>847.63989000000004</v>
      </c>
      <c r="T48" s="9" t="str">
        <f t="shared" si="10"/>
        <v>Budget</v>
      </c>
      <c r="U48" s="9" t="str">
        <f t="shared" si="11"/>
        <v>Complete</v>
      </c>
      <c r="V48" s="9">
        <f t="shared" si="12"/>
        <v>38</v>
      </c>
      <c r="W48" s="9">
        <f t="shared" si="13"/>
        <v>65</v>
      </c>
    </row>
    <row r="49" spans="1:23" x14ac:dyDescent="0.3">
      <c r="A49" s="9" t="s">
        <v>30</v>
      </c>
      <c r="B49" s="9" t="s">
        <v>136</v>
      </c>
      <c r="C49" s="9" t="s">
        <v>54</v>
      </c>
      <c r="D49" s="12">
        <v>113.369</v>
      </c>
      <c r="E49" s="13">
        <v>21.56</v>
      </c>
      <c r="F49" s="9">
        <v>3.8</v>
      </c>
      <c r="G49" s="9">
        <v>190</v>
      </c>
      <c r="H49" s="9">
        <v>101.3</v>
      </c>
      <c r="I49" s="9">
        <v>73.099999999999994</v>
      </c>
      <c r="J49" s="9">
        <v>183.2</v>
      </c>
      <c r="K49" s="9">
        <v>3.2029999999999998</v>
      </c>
      <c r="L49" s="9">
        <v>15.7</v>
      </c>
      <c r="M49" s="9">
        <v>24</v>
      </c>
      <c r="N49" s="13">
        <v>12.76</v>
      </c>
      <c r="O49" s="14">
        <v>40939</v>
      </c>
      <c r="P49" s="9">
        <f t="shared" si="7"/>
        <v>2012</v>
      </c>
      <c r="Q49" s="9" t="str">
        <f t="shared" si="8"/>
        <v>Jan</v>
      </c>
      <c r="R49" s="9">
        <v>76.509184559999994</v>
      </c>
      <c r="S49" s="15">
        <f t="shared" si="9"/>
        <v>2444.2356399999999</v>
      </c>
      <c r="T49" s="9" t="str">
        <f t="shared" si="10"/>
        <v>Mid-range</v>
      </c>
      <c r="U49" s="9" t="str">
        <f t="shared" si="11"/>
        <v>Complete</v>
      </c>
      <c r="V49" s="9">
        <f t="shared" si="12"/>
        <v>18</v>
      </c>
      <c r="W49" s="9">
        <f t="shared" si="13"/>
        <v>16</v>
      </c>
    </row>
    <row r="50" spans="1:23" x14ac:dyDescent="0.3">
      <c r="A50" s="9" t="s">
        <v>30</v>
      </c>
      <c r="B50" s="9" t="s">
        <v>137</v>
      </c>
      <c r="C50" s="9" t="s">
        <v>54</v>
      </c>
      <c r="D50" s="12">
        <v>35.067999999999998</v>
      </c>
      <c r="E50" s="13">
        <v>17.035</v>
      </c>
      <c r="F50" s="9">
        <v>2.5</v>
      </c>
      <c r="G50" s="9">
        <v>170</v>
      </c>
      <c r="H50" s="9">
        <v>106.5</v>
      </c>
      <c r="I50" s="9">
        <v>69.099999999999994</v>
      </c>
      <c r="J50" s="9">
        <v>184.6</v>
      </c>
      <c r="K50" s="9">
        <v>2.7690000000000001</v>
      </c>
      <c r="L50" s="9">
        <v>15</v>
      </c>
      <c r="M50" s="9">
        <v>25</v>
      </c>
      <c r="N50" s="13">
        <v>8.8350000000000009</v>
      </c>
      <c r="O50" s="14">
        <v>41141</v>
      </c>
      <c r="P50" s="9">
        <f t="shared" si="7"/>
        <v>2012</v>
      </c>
      <c r="Q50" s="9" t="str">
        <f t="shared" si="8"/>
        <v>Aug</v>
      </c>
      <c r="R50" s="9">
        <v>67.351010720000005</v>
      </c>
      <c r="S50" s="15">
        <f t="shared" si="9"/>
        <v>597.38337999999999</v>
      </c>
      <c r="T50" s="9" t="str">
        <f t="shared" si="10"/>
        <v>Mid-range</v>
      </c>
      <c r="U50" s="9" t="str">
        <f t="shared" si="11"/>
        <v>Complete</v>
      </c>
      <c r="V50" s="9">
        <f t="shared" si="12"/>
        <v>69</v>
      </c>
      <c r="W50" s="9">
        <f t="shared" si="13"/>
        <v>89</v>
      </c>
    </row>
    <row r="51" spans="1:23" x14ac:dyDescent="0.3">
      <c r="A51" s="9" t="s">
        <v>30</v>
      </c>
      <c r="B51" s="9" t="s">
        <v>138</v>
      </c>
      <c r="C51" s="9" t="s">
        <v>54</v>
      </c>
      <c r="D51" s="12">
        <v>245.815</v>
      </c>
      <c r="E51" s="13">
        <v>17.885000000000002</v>
      </c>
      <c r="F51" s="9">
        <v>3</v>
      </c>
      <c r="G51" s="9">
        <v>155</v>
      </c>
      <c r="H51" s="9">
        <v>108.5</v>
      </c>
      <c r="I51" s="9">
        <v>73</v>
      </c>
      <c r="J51" s="9">
        <v>197.6</v>
      </c>
      <c r="K51" s="9">
        <v>3.3679999999999999</v>
      </c>
      <c r="L51" s="9">
        <v>16</v>
      </c>
      <c r="M51" s="9">
        <v>24</v>
      </c>
      <c r="N51" s="13">
        <v>10.055</v>
      </c>
      <c r="O51" s="14">
        <v>40897</v>
      </c>
      <c r="P51" s="9">
        <f t="shared" si="7"/>
        <v>2011</v>
      </c>
      <c r="Q51" s="9" t="str">
        <f t="shared" si="8"/>
        <v>Dec</v>
      </c>
      <c r="R51" s="9">
        <v>62.503739500000002</v>
      </c>
      <c r="S51" s="15">
        <f t="shared" si="9"/>
        <v>4396.4012750000002</v>
      </c>
      <c r="T51" s="9" t="str">
        <f t="shared" si="10"/>
        <v>Mid-range</v>
      </c>
      <c r="U51" s="9" t="str">
        <f t="shared" si="11"/>
        <v>Complete</v>
      </c>
      <c r="V51" s="9">
        <f t="shared" si="12"/>
        <v>4</v>
      </c>
      <c r="W51" s="9">
        <f t="shared" si="13"/>
        <v>5</v>
      </c>
    </row>
    <row r="52" spans="1:23" x14ac:dyDescent="0.3">
      <c r="A52" s="9" t="s">
        <v>30</v>
      </c>
      <c r="B52" s="9" t="s">
        <v>139</v>
      </c>
      <c r="C52" s="9" t="s">
        <v>54</v>
      </c>
      <c r="D52" s="12">
        <v>175.67</v>
      </c>
      <c r="E52" s="13">
        <v>12.315</v>
      </c>
      <c r="F52" s="9">
        <v>2</v>
      </c>
      <c r="G52" s="9">
        <v>107</v>
      </c>
      <c r="H52" s="9">
        <v>103</v>
      </c>
      <c r="I52" s="9">
        <v>66.900000000000006</v>
      </c>
      <c r="J52" s="9">
        <v>174.8</v>
      </c>
      <c r="K52" s="9">
        <v>2.5640000000000001</v>
      </c>
      <c r="L52" s="9">
        <v>13.2</v>
      </c>
      <c r="M52" s="9">
        <v>30</v>
      </c>
      <c r="N52" s="13"/>
      <c r="O52" s="14">
        <v>41112</v>
      </c>
      <c r="P52" s="9">
        <f t="shared" si="7"/>
        <v>2012</v>
      </c>
      <c r="Q52" s="9" t="str">
        <f t="shared" si="8"/>
        <v>Jul</v>
      </c>
      <c r="R52" s="9">
        <v>43.117132009999999</v>
      </c>
      <c r="S52" s="15">
        <f t="shared" si="9"/>
        <v>2163.3760499999999</v>
      </c>
      <c r="T52" s="9" t="str">
        <f t="shared" si="10"/>
        <v>Budget</v>
      </c>
      <c r="U52" s="9" t="str">
        <f t="shared" si="11"/>
        <v>Incomplete</v>
      </c>
      <c r="V52" s="9">
        <f t="shared" si="12"/>
        <v>10</v>
      </c>
      <c r="W52" s="9">
        <f t="shared" si="13"/>
        <v>19</v>
      </c>
    </row>
    <row r="53" spans="1:23" x14ac:dyDescent="0.3">
      <c r="A53" s="9" t="s">
        <v>30</v>
      </c>
      <c r="B53" s="9" t="s">
        <v>140</v>
      </c>
      <c r="C53" s="9" t="s">
        <v>54</v>
      </c>
      <c r="D53" s="12">
        <v>63.402999999999999</v>
      </c>
      <c r="E53" s="13">
        <v>22.195</v>
      </c>
      <c r="F53" s="9">
        <v>4.5999999999999996</v>
      </c>
      <c r="G53" s="9">
        <v>200</v>
      </c>
      <c r="H53" s="9">
        <v>114.7</v>
      </c>
      <c r="I53" s="9">
        <v>78.2</v>
      </c>
      <c r="J53" s="9">
        <v>212</v>
      </c>
      <c r="K53" s="9">
        <v>3.9079999999999999</v>
      </c>
      <c r="L53" s="9">
        <v>19</v>
      </c>
      <c r="M53" s="9">
        <v>21</v>
      </c>
      <c r="N53" s="13">
        <v>14.21</v>
      </c>
      <c r="O53" s="14">
        <v>40812</v>
      </c>
      <c r="P53" s="9">
        <f t="shared" si="7"/>
        <v>2011</v>
      </c>
      <c r="Q53" s="9" t="str">
        <f t="shared" si="8"/>
        <v>Sep</v>
      </c>
      <c r="R53" s="9">
        <v>80.499536710000001</v>
      </c>
      <c r="S53" s="15">
        <f t="shared" si="9"/>
        <v>1407.229585</v>
      </c>
      <c r="T53" s="9" t="str">
        <f t="shared" si="10"/>
        <v>Mid-range</v>
      </c>
      <c r="U53" s="9" t="str">
        <f t="shared" si="11"/>
        <v>Complete</v>
      </c>
      <c r="V53" s="9">
        <f t="shared" si="12"/>
        <v>46</v>
      </c>
      <c r="W53" s="9">
        <f t="shared" si="13"/>
        <v>40</v>
      </c>
    </row>
    <row r="54" spans="1:23" x14ac:dyDescent="0.3">
      <c r="A54" s="9" t="s">
        <v>30</v>
      </c>
      <c r="B54" s="9" t="s">
        <v>141</v>
      </c>
      <c r="C54" s="9" t="s">
        <v>55</v>
      </c>
      <c r="D54" s="12">
        <v>276.74700000000001</v>
      </c>
      <c r="E54" s="13">
        <v>31.93</v>
      </c>
      <c r="F54" s="9">
        <v>4</v>
      </c>
      <c r="G54" s="9">
        <v>210</v>
      </c>
      <c r="H54" s="9">
        <v>111.6</v>
      </c>
      <c r="I54" s="9">
        <v>70.2</v>
      </c>
      <c r="J54" s="9">
        <v>190.7</v>
      </c>
      <c r="K54" s="9">
        <v>3.8759999999999999</v>
      </c>
      <c r="L54" s="9">
        <v>21</v>
      </c>
      <c r="M54" s="9">
        <v>19</v>
      </c>
      <c r="N54" s="13">
        <v>16.64</v>
      </c>
      <c r="O54" s="14">
        <v>41024</v>
      </c>
      <c r="P54" s="9">
        <f t="shared" si="7"/>
        <v>2012</v>
      </c>
      <c r="Q54" s="9" t="str">
        <f t="shared" si="8"/>
        <v>Apr</v>
      </c>
      <c r="R54" s="9">
        <v>87.635495779999999</v>
      </c>
      <c r="S54" s="15">
        <f t="shared" si="9"/>
        <v>8836.5317100000011</v>
      </c>
      <c r="T54" s="9" t="str">
        <f t="shared" si="10"/>
        <v>Luxury</v>
      </c>
      <c r="U54" s="9" t="str">
        <f t="shared" si="11"/>
        <v>Complete</v>
      </c>
      <c r="V54" s="9">
        <f t="shared" si="12"/>
        <v>2</v>
      </c>
      <c r="W54" s="9">
        <f t="shared" si="13"/>
        <v>2</v>
      </c>
    </row>
    <row r="55" spans="1:23" x14ac:dyDescent="0.3">
      <c r="A55" s="9" t="s">
        <v>30</v>
      </c>
      <c r="B55" s="9" t="s">
        <v>142</v>
      </c>
      <c r="C55" s="9" t="s">
        <v>55</v>
      </c>
      <c r="D55" s="12">
        <v>155.78700000000001</v>
      </c>
      <c r="E55" s="13">
        <v>21.41</v>
      </c>
      <c r="F55" s="9">
        <v>3</v>
      </c>
      <c r="G55" s="9">
        <v>150</v>
      </c>
      <c r="H55" s="9">
        <v>120.7</v>
      </c>
      <c r="I55" s="9">
        <v>76.599999999999994</v>
      </c>
      <c r="J55" s="9">
        <v>200.9</v>
      </c>
      <c r="K55" s="9">
        <v>3.7610000000000001</v>
      </c>
      <c r="L55" s="9">
        <v>26</v>
      </c>
      <c r="M55" s="9">
        <v>21</v>
      </c>
      <c r="N55" s="13">
        <v>13.175000000000001</v>
      </c>
      <c r="O55" s="14">
        <v>40964</v>
      </c>
      <c r="P55" s="9">
        <f t="shared" si="7"/>
        <v>2012</v>
      </c>
      <c r="Q55" s="9" t="str">
        <f t="shared" si="8"/>
        <v>Feb</v>
      </c>
      <c r="R55" s="9">
        <v>62.095048390000002</v>
      </c>
      <c r="S55" s="15">
        <f t="shared" si="9"/>
        <v>3335.3996700000002</v>
      </c>
      <c r="T55" s="9" t="str">
        <f t="shared" si="10"/>
        <v>Mid-range</v>
      </c>
      <c r="U55" s="9" t="str">
        <f t="shared" si="11"/>
        <v>Complete</v>
      </c>
      <c r="V55" s="9">
        <f t="shared" si="12"/>
        <v>12</v>
      </c>
      <c r="W55" s="9">
        <f t="shared" si="13"/>
        <v>10</v>
      </c>
    </row>
    <row r="56" spans="1:23" x14ac:dyDescent="0.3">
      <c r="A56" s="9" t="s">
        <v>30</v>
      </c>
      <c r="B56" s="9" t="s">
        <v>143</v>
      </c>
      <c r="C56" s="9" t="s">
        <v>55</v>
      </c>
      <c r="D56" s="12">
        <v>125.33799999999999</v>
      </c>
      <c r="E56" s="13">
        <v>36.134999999999998</v>
      </c>
      <c r="F56" s="9">
        <v>4.5999999999999996</v>
      </c>
      <c r="G56" s="9">
        <v>240</v>
      </c>
      <c r="H56" s="9">
        <v>119</v>
      </c>
      <c r="I56" s="9">
        <v>78.7</v>
      </c>
      <c r="J56" s="9">
        <v>204.6</v>
      </c>
      <c r="K56" s="9">
        <v>4.8079999999999998</v>
      </c>
      <c r="L56" s="9">
        <v>26</v>
      </c>
      <c r="M56" s="9">
        <v>16</v>
      </c>
      <c r="N56" s="13">
        <v>23.574999999999999</v>
      </c>
      <c r="O56" s="14">
        <v>41166</v>
      </c>
      <c r="P56" s="9">
        <f t="shared" si="7"/>
        <v>2012</v>
      </c>
      <c r="Q56" s="9" t="str">
        <f t="shared" si="8"/>
        <v>Sep</v>
      </c>
      <c r="R56" s="9">
        <v>100.0248023</v>
      </c>
      <c r="S56" s="15">
        <f t="shared" si="9"/>
        <v>4529.0886299999993</v>
      </c>
      <c r="T56" s="9" t="str">
        <f t="shared" si="10"/>
        <v>Luxury</v>
      </c>
      <c r="U56" s="9" t="str">
        <f t="shared" si="11"/>
        <v>Complete</v>
      </c>
      <c r="V56" s="9">
        <f t="shared" si="12"/>
        <v>17</v>
      </c>
      <c r="W56" s="9">
        <f t="shared" si="13"/>
        <v>3</v>
      </c>
    </row>
    <row r="57" spans="1:23" x14ac:dyDescent="0.3">
      <c r="A57" s="9" t="s">
        <v>30</v>
      </c>
      <c r="B57" s="9" t="s">
        <v>144</v>
      </c>
      <c r="C57" s="9" t="s">
        <v>55</v>
      </c>
      <c r="D57" s="12">
        <v>220.65</v>
      </c>
      <c r="E57" s="13">
        <v>12.05</v>
      </c>
      <c r="F57" s="9">
        <v>2.5</v>
      </c>
      <c r="G57" s="9">
        <v>119</v>
      </c>
      <c r="H57" s="9">
        <v>117.5</v>
      </c>
      <c r="I57" s="9">
        <v>69.400000000000006</v>
      </c>
      <c r="J57" s="9">
        <v>200.7</v>
      </c>
      <c r="K57" s="9">
        <v>3.0859999999999999</v>
      </c>
      <c r="L57" s="9">
        <v>20</v>
      </c>
      <c r="M57" s="9">
        <v>23</v>
      </c>
      <c r="N57" s="13">
        <v>7.85</v>
      </c>
      <c r="O57" s="14">
        <v>40922</v>
      </c>
      <c r="P57" s="9">
        <f t="shared" si="7"/>
        <v>2012</v>
      </c>
      <c r="Q57" s="9" t="str">
        <f t="shared" si="8"/>
        <v>Jan</v>
      </c>
      <c r="R57" s="9">
        <v>47.389531310000002</v>
      </c>
      <c r="S57" s="15">
        <f t="shared" si="9"/>
        <v>2658.8325000000004</v>
      </c>
      <c r="T57" s="9" t="str">
        <f t="shared" si="10"/>
        <v>Budget</v>
      </c>
      <c r="U57" s="9" t="str">
        <f t="shared" si="11"/>
        <v>Complete</v>
      </c>
      <c r="V57" s="9">
        <f t="shared" si="12"/>
        <v>7</v>
      </c>
      <c r="W57" s="9">
        <f t="shared" si="13"/>
        <v>12</v>
      </c>
    </row>
    <row r="58" spans="1:23" x14ac:dyDescent="0.3">
      <c r="A58" s="9" t="s">
        <v>30</v>
      </c>
      <c r="B58" s="9" t="s">
        <v>145</v>
      </c>
      <c r="C58" s="9" t="s">
        <v>55</v>
      </c>
      <c r="D58" s="12">
        <v>540.56100000000004</v>
      </c>
      <c r="E58" s="13">
        <v>26.934999999999999</v>
      </c>
      <c r="F58" s="9">
        <v>4.5999999999999996</v>
      </c>
      <c r="G58" s="9">
        <v>220</v>
      </c>
      <c r="H58" s="9">
        <v>138.5</v>
      </c>
      <c r="I58" s="9">
        <v>79.099999999999994</v>
      </c>
      <c r="J58" s="9">
        <v>224.5</v>
      </c>
      <c r="K58" s="9">
        <v>4.2409999999999997</v>
      </c>
      <c r="L58" s="9">
        <v>25.1</v>
      </c>
      <c r="M58" s="9">
        <v>18</v>
      </c>
      <c r="N58" s="13">
        <v>15.074999999999999</v>
      </c>
      <c r="O58" s="14">
        <v>41137</v>
      </c>
      <c r="P58" s="9">
        <f t="shared" si="7"/>
        <v>2012</v>
      </c>
      <c r="Q58" s="9" t="str">
        <f t="shared" si="8"/>
        <v>Aug</v>
      </c>
      <c r="R58" s="9">
        <v>89.401934729999994</v>
      </c>
      <c r="S58" s="15">
        <f t="shared" si="9"/>
        <v>14560.010534999999</v>
      </c>
      <c r="T58" s="9" t="str">
        <f t="shared" si="10"/>
        <v>Mid-range</v>
      </c>
      <c r="U58" s="9" t="str">
        <f t="shared" si="11"/>
        <v>Complete</v>
      </c>
      <c r="V58" s="9">
        <f t="shared" si="12"/>
        <v>1</v>
      </c>
      <c r="W58" s="9">
        <f t="shared" si="13"/>
        <v>1</v>
      </c>
    </row>
    <row r="59" spans="1:23" x14ac:dyDescent="0.3">
      <c r="A59" s="9" t="s">
        <v>31</v>
      </c>
      <c r="B59" s="9" t="s">
        <v>146</v>
      </c>
      <c r="C59" s="9" t="s">
        <v>54</v>
      </c>
      <c r="D59" s="12">
        <v>199.685</v>
      </c>
      <c r="E59" s="13">
        <v>12.885</v>
      </c>
      <c r="F59" s="9">
        <v>1.6</v>
      </c>
      <c r="G59" s="9">
        <v>106</v>
      </c>
      <c r="H59" s="9">
        <v>103.2</v>
      </c>
      <c r="I59" s="9">
        <v>67.099999999999994</v>
      </c>
      <c r="J59" s="9">
        <v>175.1</v>
      </c>
      <c r="K59" s="9">
        <v>2.339</v>
      </c>
      <c r="L59" s="9">
        <v>11.9</v>
      </c>
      <c r="M59" s="9">
        <v>32</v>
      </c>
      <c r="N59" s="13">
        <v>9.85</v>
      </c>
      <c r="O59" s="14">
        <v>40837</v>
      </c>
      <c r="P59" s="9">
        <f t="shared" si="7"/>
        <v>2011</v>
      </c>
      <c r="Q59" s="9" t="str">
        <f t="shared" si="8"/>
        <v>Oct</v>
      </c>
      <c r="R59" s="9">
        <v>42.879097340000001</v>
      </c>
      <c r="S59" s="15">
        <f t="shared" si="9"/>
        <v>2572.941225</v>
      </c>
      <c r="T59" s="9" t="str">
        <f t="shared" si="10"/>
        <v>Budget</v>
      </c>
      <c r="U59" s="9" t="str">
        <f t="shared" si="11"/>
        <v>Complete</v>
      </c>
      <c r="V59" s="9">
        <f t="shared" si="12"/>
        <v>8</v>
      </c>
      <c r="W59" s="9">
        <f t="shared" si="13"/>
        <v>14</v>
      </c>
    </row>
    <row r="60" spans="1:23" x14ac:dyDescent="0.3">
      <c r="A60" s="9" t="s">
        <v>31</v>
      </c>
      <c r="B60" s="9" t="s">
        <v>147</v>
      </c>
      <c r="C60" s="9" t="s">
        <v>54</v>
      </c>
      <c r="D60" s="12">
        <v>230.90199999999999</v>
      </c>
      <c r="E60" s="13">
        <v>15.35</v>
      </c>
      <c r="F60" s="9">
        <v>2.2999999999999998</v>
      </c>
      <c r="G60" s="9">
        <v>135</v>
      </c>
      <c r="H60" s="9">
        <v>106.9</v>
      </c>
      <c r="I60" s="9">
        <v>70.3</v>
      </c>
      <c r="J60" s="9">
        <v>188.8</v>
      </c>
      <c r="K60" s="9">
        <v>2.9319999999999999</v>
      </c>
      <c r="L60" s="9">
        <v>17.100000000000001</v>
      </c>
      <c r="M60" s="9">
        <v>27</v>
      </c>
      <c r="N60" s="13">
        <v>13.21</v>
      </c>
      <c r="O60" s="14">
        <v>41049</v>
      </c>
      <c r="P60" s="9">
        <f t="shared" si="7"/>
        <v>2012</v>
      </c>
      <c r="Q60" s="9" t="str">
        <f t="shared" si="8"/>
        <v>May</v>
      </c>
      <c r="R60" s="9">
        <v>54.269548290000003</v>
      </c>
      <c r="S60" s="15">
        <f t="shared" si="9"/>
        <v>3544.3456999999999</v>
      </c>
      <c r="T60" s="9" t="str">
        <f t="shared" si="10"/>
        <v>Mid-range</v>
      </c>
      <c r="U60" s="9" t="str">
        <f t="shared" si="11"/>
        <v>Complete</v>
      </c>
      <c r="V60" s="9">
        <f t="shared" si="12"/>
        <v>5</v>
      </c>
      <c r="W60" s="9">
        <f t="shared" si="13"/>
        <v>9</v>
      </c>
    </row>
    <row r="61" spans="1:23" x14ac:dyDescent="0.3">
      <c r="A61" s="9" t="s">
        <v>31</v>
      </c>
      <c r="B61" s="9" t="s">
        <v>148</v>
      </c>
      <c r="C61" s="9" t="s">
        <v>55</v>
      </c>
      <c r="D61" s="12">
        <v>73.203000000000003</v>
      </c>
      <c r="E61" s="13">
        <v>20.55</v>
      </c>
      <c r="F61" s="9">
        <v>2</v>
      </c>
      <c r="G61" s="9">
        <v>146</v>
      </c>
      <c r="H61" s="9">
        <v>103.2</v>
      </c>
      <c r="I61" s="9">
        <v>68.900000000000006</v>
      </c>
      <c r="J61" s="9">
        <v>177.6</v>
      </c>
      <c r="K61" s="9">
        <v>3.2189999999999999</v>
      </c>
      <c r="L61" s="9">
        <v>15.3</v>
      </c>
      <c r="M61" s="9">
        <v>24</v>
      </c>
      <c r="N61" s="13">
        <v>17.71</v>
      </c>
      <c r="O61" s="14">
        <v>40989</v>
      </c>
      <c r="P61" s="9">
        <f t="shared" si="7"/>
        <v>2012</v>
      </c>
      <c r="Q61" s="9" t="str">
        <f t="shared" si="8"/>
        <v>Mar</v>
      </c>
      <c r="R61" s="9">
        <v>60.087966620000003</v>
      </c>
      <c r="S61" s="15">
        <f t="shared" si="9"/>
        <v>1504.3216500000001</v>
      </c>
      <c r="T61" s="9" t="str">
        <f t="shared" si="10"/>
        <v>Mid-range</v>
      </c>
      <c r="U61" s="9" t="str">
        <f t="shared" si="11"/>
        <v>Complete</v>
      </c>
      <c r="V61" s="9">
        <f t="shared" si="12"/>
        <v>36</v>
      </c>
      <c r="W61" s="9">
        <f t="shared" si="13"/>
        <v>36</v>
      </c>
    </row>
    <row r="62" spans="1:23" x14ac:dyDescent="0.3">
      <c r="A62" s="9" t="s">
        <v>31</v>
      </c>
      <c r="B62" s="9" t="s">
        <v>149</v>
      </c>
      <c r="C62" s="9" t="s">
        <v>55</v>
      </c>
      <c r="D62" s="12">
        <v>12.855</v>
      </c>
      <c r="E62" s="13">
        <v>26.6</v>
      </c>
      <c r="F62" s="9">
        <v>3.2</v>
      </c>
      <c r="G62" s="9">
        <v>205</v>
      </c>
      <c r="H62" s="9">
        <v>106.4</v>
      </c>
      <c r="I62" s="9">
        <v>70.400000000000006</v>
      </c>
      <c r="J62" s="9">
        <v>178.2</v>
      </c>
      <c r="K62" s="9">
        <v>3.8570000000000002</v>
      </c>
      <c r="L62" s="9">
        <v>21.1</v>
      </c>
      <c r="M62" s="9">
        <v>19</v>
      </c>
      <c r="N62" s="13">
        <v>17.524999999999999</v>
      </c>
      <c r="O62" s="14">
        <v>41191</v>
      </c>
      <c r="P62" s="9">
        <f t="shared" si="7"/>
        <v>2012</v>
      </c>
      <c r="Q62" s="9" t="str">
        <f t="shared" si="8"/>
        <v>Oct</v>
      </c>
      <c r="R62" s="9">
        <v>83.602500800000001</v>
      </c>
      <c r="S62" s="15">
        <f t="shared" si="9"/>
        <v>341.94300000000004</v>
      </c>
      <c r="T62" s="9" t="str">
        <f t="shared" si="10"/>
        <v>Mid-range</v>
      </c>
      <c r="U62" s="9" t="str">
        <f t="shared" si="11"/>
        <v>Complete</v>
      </c>
      <c r="V62" s="9">
        <f t="shared" si="12"/>
        <v>121</v>
      </c>
      <c r="W62" s="9">
        <f t="shared" si="13"/>
        <v>125</v>
      </c>
    </row>
    <row r="63" spans="1:23" x14ac:dyDescent="0.3">
      <c r="A63" s="9" t="s">
        <v>31</v>
      </c>
      <c r="B63" s="9" t="s">
        <v>150</v>
      </c>
      <c r="C63" s="9" t="s">
        <v>55</v>
      </c>
      <c r="D63" s="12">
        <v>76.028999999999996</v>
      </c>
      <c r="E63" s="13">
        <v>26</v>
      </c>
      <c r="F63" s="9">
        <v>3.5</v>
      </c>
      <c r="G63" s="9">
        <v>210</v>
      </c>
      <c r="H63" s="9">
        <v>118.1</v>
      </c>
      <c r="I63" s="9">
        <v>75.599999999999994</v>
      </c>
      <c r="J63" s="9">
        <v>201.2</v>
      </c>
      <c r="K63" s="9">
        <v>4.2880000000000003</v>
      </c>
      <c r="L63" s="9">
        <v>20</v>
      </c>
      <c r="M63" s="9">
        <v>23</v>
      </c>
      <c r="N63" s="13">
        <v>19.489999999999998</v>
      </c>
      <c r="O63" s="14">
        <v>40947</v>
      </c>
      <c r="P63" s="9">
        <f t="shared" si="7"/>
        <v>2012</v>
      </c>
      <c r="Q63" s="9" t="str">
        <f t="shared" si="8"/>
        <v>Feb</v>
      </c>
      <c r="R63" s="9">
        <v>85.217691340000002</v>
      </c>
      <c r="S63" s="15">
        <f t="shared" si="9"/>
        <v>1976.7539999999999</v>
      </c>
      <c r="T63" s="9" t="str">
        <f t="shared" si="10"/>
        <v>Mid-range</v>
      </c>
      <c r="U63" s="9" t="str">
        <f t="shared" si="11"/>
        <v>Complete</v>
      </c>
      <c r="V63" s="9">
        <f t="shared" si="12"/>
        <v>35</v>
      </c>
      <c r="W63" s="9">
        <f t="shared" si="13"/>
        <v>26</v>
      </c>
    </row>
    <row r="64" spans="1:23" x14ac:dyDescent="0.3">
      <c r="A64" s="9" t="s">
        <v>32</v>
      </c>
      <c r="B64" s="9" t="s">
        <v>151</v>
      </c>
      <c r="C64" s="9" t="s">
        <v>54</v>
      </c>
      <c r="D64" s="12">
        <v>41.183999999999997</v>
      </c>
      <c r="E64" s="13">
        <v>9.6989999999999998</v>
      </c>
      <c r="F64" s="9">
        <v>1.5</v>
      </c>
      <c r="G64" s="9">
        <v>92</v>
      </c>
      <c r="H64" s="9">
        <v>96.1</v>
      </c>
      <c r="I64" s="9">
        <v>65.7</v>
      </c>
      <c r="J64" s="9">
        <v>166.7</v>
      </c>
      <c r="K64" s="9">
        <v>2.2400000000000002</v>
      </c>
      <c r="L64" s="9">
        <v>11.9</v>
      </c>
      <c r="M64" s="9">
        <v>31</v>
      </c>
      <c r="N64" s="13">
        <v>5.86</v>
      </c>
      <c r="O64" s="14">
        <v>41162</v>
      </c>
      <c r="P64" s="9">
        <f t="shared" si="7"/>
        <v>2012</v>
      </c>
      <c r="Q64" s="9" t="str">
        <f t="shared" si="8"/>
        <v>Sep</v>
      </c>
      <c r="R64" s="9">
        <v>36.672283579999998</v>
      </c>
      <c r="S64" s="15">
        <f t="shared" si="9"/>
        <v>399.44361599999996</v>
      </c>
      <c r="T64" s="9" t="str">
        <f t="shared" si="10"/>
        <v>Budget</v>
      </c>
      <c r="U64" s="9" t="str">
        <f t="shared" si="11"/>
        <v>Complete</v>
      </c>
      <c r="V64" s="9">
        <f t="shared" si="12"/>
        <v>62</v>
      </c>
      <c r="W64" s="9">
        <f t="shared" si="13"/>
        <v>114</v>
      </c>
    </row>
    <row r="65" spans="1:23" x14ac:dyDescent="0.3">
      <c r="A65" s="9" t="s">
        <v>32</v>
      </c>
      <c r="B65" s="9" t="s">
        <v>152</v>
      </c>
      <c r="C65" s="9" t="s">
        <v>54</v>
      </c>
      <c r="D65" s="12">
        <v>66.691999999999993</v>
      </c>
      <c r="E65" s="13">
        <v>11.798999999999999</v>
      </c>
      <c r="F65" s="9">
        <v>2</v>
      </c>
      <c r="G65" s="9">
        <v>140</v>
      </c>
      <c r="H65" s="9">
        <v>100.4</v>
      </c>
      <c r="I65" s="9">
        <v>66.900000000000006</v>
      </c>
      <c r="J65" s="9">
        <v>174</v>
      </c>
      <c r="K65" s="9">
        <v>2.6259999999999999</v>
      </c>
      <c r="L65" s="9">
        <v>14.5</v>
      </c>
      <c r="M65" s="9">
        <v>27</v>
      </c>
      <c r="N65" s="13">
        <v>7.8250000000000002</v>
      </c>
      <c r="O65" s="14">
        <v>40862</v>
      </c>
      <c r="P65" s="9">
        <f t="shared" si="7"/>
        <v>2011</v>
      </c>
      <c r="Q65" s="9" t="str">
        <f t="shared" si="8"/>
        <v>Nov</v>
      </c>
      <c r="R65" s="9">
        <v>54.590045160000003</v>
      </c>
      <c r="S65" s="15">
        <f t="shared" si="9"/>
        <v>786.89890799999989</v>
      </c>
      <c r="T65" s="9" t="str">
        <f t="shared" si="10"/>
        <v>Budget</v>
      </c>
      <c r="U65" s="9" t="str">
        <f t="shared" si="11"/>
        <v>Complete</v>
      </c>
      <c r="V65" s="9">
        <f t="shared" si="12"/>
        <v>41</v>
      </c>
      <c r="W65" s="9">
        <f t="shared" si="13"/>
        <v>71</v>
      </c>
    </row>
    <row r="66" spans="1:23" x14ac:dyDescent="0.3">
      <c r="A66" s="9" t="s">
        <v>32</v>
      </c>
      <c r="B66" s="9" t="s">
        <v>153</v>
      </c>
      <c r="C66" s="9" t="s">
        <v>54</v>
      </c>
      <c r="D66" s="12">
        <v>29.45</v>
      </c>
      <c r="E66" s="13">
        <v>14.999000000000001</v>
      </c>
      <c r="F66" s="9">
        <v>2.4</v>
      </c>
      <c r="G66" s="9">
        <v>148</v>
      </c>
      <c r="H66" s="9">
        <v>106.3</v>
      </c>
      <c r="I66" s="9">
        <v>71.599999999999994</v>
      </c>
      <c r="J66" s="9">
        <v>185.4</v>
      </c>
      <c r="K66" s="9">
        <v>3.0720000000000001</v>
      </c>
      <c r="L66" s="9">
        <v>17.2</v>
      </c>
      <c r="M66" s="9">
        <v>25</v>
      </c>
      <c r="N66" s="13">
        <v>8.91</v>
      </c>
      <c r="O66" s="14">
        <v>41074</v>
      </c>
      <c r="P66" s="9">
        <f t="shared" ref="P66:P97" si="14">YEAR(O66)</f>
        <v>2012</v>
      </c>
      <c r="Q66" s="9" t="str">
        <f t="shared" ref="Q66:Q97" si="15">TEXT(O66,"mmm")</f>
        <v>Jun</v>
      </c>
      <c r="R66" s="9">
        <v>58.758248999999999</v>
      </c>
      <c r="S66" s="15">
        <f t="shared" ref="S66:S97" si="16">IFERROR(D66*E66,"")</f>
        <v>441.72055</v>
      </c>
      <c r="T66" s="9" t="str">
        <f t="shared" ref="T66:T97" si="17">IF(E66="","Unknown",_xlfn.IFS(E66&lt;15,"Budget",E66&lt;30,"Mid-range",TRUE(),"Luxury"))</f>
        <v>Budget</v>
      </c>
      <c r="U66" s="9" t="str">
        <f t="shared" ref="U66:U97" si="18">IF(COUNTBLANK(D66:R66)&gt;0,"Incomplete","Complete")</f>
        <v>Complete</v>
      </c>
      <c r="V66" s="9">
        <f t="shared" ref="V66:V97" si="19">IFERROR(RANK(D66,$D$2:$D$158),"")</f>
        <v>79</v>
      </c>
      <c r="W66" s="9">
        <f t="shared" ref="W66:W97" si="20">IFERROR(RANK(S66,$S$2:$S$158),"")</f>
        <v>109</v>
      </c>
    </row>
    <row r="67" spans="1:23" x14ac:dyDescent="0.3">
      <c r="A67" s="9" t="s">
        <v>33</v>
      </c>
      <c r="B67" s="9" t="s">
        <v>154</v>
      </c>
      <c r="C67" s="9" t="s">
        <v>54</v>
      </c>
      <c r="D67" s="12">
        <v>23.713000000000001</v>
      </c>
      <c r="E67" s="13">
        <v>29.465</v>
      </c>
      <c r="F67" s="9">
        <v>3</v>
      </c>
      <c r="G67" s="9">
        <v>227</v>
      </c>
      <c r="H67" s="9">
        <v>108.3</v>
      </c>
      <c r="I67" s="9">
        <v>70.2</v>
      </c>
      <c r="J67" s="9">
        <v>193.7</v>
      </c>
      <c r="K67" s="9">
        <v>3.3420000000000001</v>
      </c>
      <c r="L67" s="9">
        <v>18.5</v>
      </c>
      <c r="M67" s="9">
        <v>25</v>
      </c>
      <c r="N67" s="13">
        <v>19.690000000000001</v>
      </c>
      <c r="O67" s="14">
        <v>41014</v>
      </c>
      <c r="P67" s="9">
        <f t="shared" si="14"/>
        <v>2012</v>
      </c>
      <c r="Q67" s="9" t="str">
        <f t="shared" si="15"/>
        <v>Apr</v>
      </c>
      <c r="R67" s="9">
        <v>92.436889230000006</v>
      </c>
      <c r="S67" s="15">
        <f t="shared" si="16"/>
        <v>698.70354500000008</v>
      </c>
      <c r="T67" s="9" t="str">
        <f t="shared" si="17"/>
        <v>Mid-range</v>
      </c>
      <c r="U67" s="9" t="str">
        <f t="shared" si="18"/>
        <v>Complete</v>
      </c>
      <c r="V67" s="9">
        <f t="shared" si="19"/>
        <v>94</v>
      </c>
      <c r="W67" s="9">
        <f t="shared" si="20"/>
        <v>78</v>
      </c>
    </row>
    <row r="68" spans="1:23" x14ac:dyDescent="0.3">
      <c r="A68" s="9" t="s">
        <v>34</v>
      </c>
      <c r="B68" s="9" t="s">
        <v>155</v>
      </c>
      <c r="C68" s="9" t="s">
        <v>54</v>
      </c>
      <c r="D68" s="12">
        <v>15.467000000000001</v>
      </c>
      <c r="E68" s="13">
        <v>42.8</v>
      </c>
      <c r="F68" s="9">
        <v>3</v>
      </c>
      <c r="G68" s="9">
        <v>240</v>
      </c>
      <c r="H68" s="9">
        <v>114.5</v>
      </c>
      <c r="I68" s="9">
        <v>71.599999999999994</v>
      </c>
      <c r="J68" s="9">
        <v>191.3</v>
      </c>
      <c r="K68" s="9">
        <v>3.65</v>
      </c>
      <c r="L68" s="9">
        <v>18.399999999999999</v>
      </c>
      <c r="M68" s="9">
        <v>21</v>
      </c>
      <c r="N68" s="13"/>
      <c r="O68" s="14">
        <v>41216</v>
      </c>
      <c r="P68" s="9">
        <f t="shared" si="14"/>
        <v>2012</v>
      </c>
      <c r="Q68" s="9" t="str">
        <f t="shared" si="15"/>
        <v>Nov</v>
      </c>
      <c r="R68" s="9">
        <v>102.17898479999999</v>
      </c>
      <c r="S68" s="15">
        <f t="shared" si="16"/>
        <v>661.98759999999993</v>
      </c>
      <c r="T68" s="9" t="str">
        <f t="shared" si="17"/>
        <v>Luxury</v>
      </c>
      <c r="U68" s="9" t="str">
        <f t="shared" si="18"/>
        <v>Incomplete</v>
      </c>
      <c r="V68" s="9">
        <f t="shared" si="19"/>
        <v>113</v>
      </c>
      <c r="W68" s="9">
        <f t="shared" si="20"/>
        <v>84</v>
      </c>
    </row>
    <row r="69" spans="1:23" x14ac:dyDescent="0.3">
      <c r="A69" s="9" t="s">
        <v>35</v>
      </c>
      <c r="B69" s="9" t="s">
        <v>156</v>
      </c>
      <c r="C69" s="9" t="s">
        <v>55</v>
      </c>
      <c r="D69" s="12">
        <v>55.557000000000002</v>
      </c>
      <c r="E69" s="13">
        <v>14.46</v>
      </c>
      <c r="F69" s="9">
        <v>2.5</v>
      </c>
      <c r="G69" s="9">
        <v>120</v>
      </c>
      <c r="H69" s="9">
        <v>93.4</v>
      </c>
      <c r="I69" s="9">
        <v>66.7</v>
      </c>
      <c r="J69" s="9">
        <v>152</v>
      </c>
      <c r="K69" s="9">
        <v>3.0449999999999999</v>
      </c>
      <c r="L69" s="9">
        <v>19</v>
      </c>
      <c r="M69" s="9">
        <v>17</v>
      </c>
      <c r="N69" s="13">
        <v>13.475</v>
      </c>
      <c r="O69" s="14">
        <v>40972</v>
      </c>
      <c r="P69" s="9">
        <f t="shared" si="14"/>
        <v>2012</v>
      </c>
      <c r="Q69" s="9" t="str">
        <f t="shared" si="15"/>
        <v>Mar</v>
      </c>
      <c r="R69" s="9">
        <v>48.672897910000003</v>
      </c>
      <c r="S69" s="15">
        <f t="shared" si="16"/>
        <v>803.35422000000005</v>
      </c>
      <c r="T69" s="9" t="str">
        <f t="shared" si="17"/>
        <v>Budget</v>
      </c>
      <c r="U69" s="9" t="str">
        <f t="shared" si="18"/>
        <v>Complete</v>
      </c>
      <c r="V69" s="9">
        <f t="shared" si="19"/>
        <v>48</v>
      </c>
      <c r="W69" s="9">
        <f t="shared" si="20"/>
        <v>69</v>
      </c>
    </row>
    <row r="70" spans="1:23" x14ac:dyDescent="0.3">
      <c r="A70" s="9" t="s">
        <v>35</v>
      </c>
      <c r="B70" s="9" t="s">
        <v>157</v>
      </c>
      <c r="C70" s="9" t="s">
        <v>55</v>
      </c>
      <c r="D70" s="12">
        <v>80.555999999999997</v>
      </c>
      <c r="E70" s="13">
        <v>21.62</v>
      </c>
      <c r="F70" s="9">
        <v>4</v>
      </c>
      <c r="G70" s="9">
        <v>190</v>
      </c>
      <c r="H70" s="9">
        <v>101.4</v>
      </c>
      <c r="I70" s="9">
        <v>69.400000000000006</v>
      </c>
      <c r="J70" s="9">
        <v>167.5</v>
      </c>
      <c r="K70" s="9">
        <v>3.194</v>
      </c>
      <c r="L70" s="9">
        <v>20</v>
      </c>
      <c r="M70" s="9">
        <v>20</v>
      </c>
      <c r="N70" s="13">
        <v>13.775</v>
      </c>
      <c r="O70" s="14">
        <v>41187</v>
      </c>
      <c r="P70" s="9">
        <f t="shared" si="14"/>
        <v>2012</v>
      </c>
      <c r="Q70" s="9" t="str">
        <f t="shared" si="15"/>
        <v>Oct</v>
      </c>
      <c r="R70" s="9">
        <v>76.584439619999998</v>
      </c>
      <c r="S70" s="15">
        <f t="shared" si="16"/>
        <v>1741.6207200000001</v>
      </c>
      <c r="T70" s="9" t="str">
        <f t="shared" si="17"/>
        <v>Mid-range</v>
      </c>
      <c r="U70" s="9" t="str">
        <f t="shared" si="18"/>
        <v>Complete</v>
      </c>
      <c r="V70" s="9">
        <f t="shared" si="19"/>
        <v>31</v>
      </c>
      <c r="W70" s="9">
        <f t="shared" si="20"/>
        <v>33</v>
      </c>
    </row>
    <row r="71" spans="1:23" x14ac:dyDescent="0.3">
      <c r="A71" s="9" t="s">
        <v>35</v>
      </c>
      <c r="B71" s="9" t="s">
        <v>158</v>
      </c>
      <c r="C71" s="9" t="s">
        <v>55</v>
      </c>
      <c r="D71" s="12">
        <v>157.04</v>
      </c>
      <c r="E71" s="13">
        <v>26.895</v>
      </c>
      <c r="F71" s="9">
        <v>4</v>
      </c>
      <c r="G71" s="9">
        <v>195</v>
      </c>
      <c r="H71" s="9">
        <v>105.9</v>
      </c>
      <c r="I71" s="9">
        <v>72.3</v>
      </c>
      <c r="J71" s="9">
        <v>181.5</v>
      </c>
      <c r="K71" s="9">
        <v>3.88</v>
      </c>
      <c r="L71" s="9">
        <v>20.5</v>
      </c>
      <c r="M71" s="9">
        <v>19</v>
      </c>
      <c r="N71" s="13">
        <v>18.809999999999999</v>
      </c>
      <c r="O71" s="14">
        <v>40887</v>
      </c>
      <c r="P71" s="9">
        <f t="shared" si="14"/>
        <v>2011</v>
      </c>
      <c r="Q71" s="9" t="str">
        <f t="shared" si="15"/>
        <v>Dec</v>
      </c>
      <c r="R71" s="9">
        <v>80.387779120000005</v>
      </c>
      <c r="S71" s="15">
        <f t="shared" si="16"/>
        <v>4223.5907999999999</v>
      </c>
      <c r="T71" s="9" t="str">
        <f t="shared" si="17"/>
        <v>Mid-range</v>
      </c>
      <c r="U71" s="9" t="str">
        <f t="shared" si="18"/>
        <v>Complete</v>
      </c>
      <c r="V71" s="9">
        <f t="shared" si="19"/>
        <v>11</v>
      </c>
      <c r="W71" s="9">
        <f t="shared" si="20"/>
        <v>7</v>
      </c>
    </row>
    <row r="72" spans="1:23" x14ac:dyDescent="0.3">
      <c r="A72" s="9" t="s">
        <v>36</v>
      </c>
      <c r="B72" s="9" t="s">
        <v>159</v>
      </c>
      <c r="C72" s="9" t="s">
        <v>54</v>
      </c>
      <c r="D72" s="12">
        <v>24.071999999999999</v>
      </c>
      <c r="E72" s="13">
        <v>31.504999999999999</v>
      </c>
      <c r="F72" s="9">
        <v>3</v>
      </c>
      <c r="G72" s="9">
        <v>210</v>
      </c>
      <c r="H72" s="9">
        <v>105.1</v>
      </c>
      <c r="I72" s="9">
        <v>70.5</v>
      </c>
      <c r="J72" s="9">
        <v>190.2</v>
      </c>
      <c r="K72" s="9">
        <v>3.3730000000000002</v>
      </c>
      <c r="L72" s="9">
        <v>18.5</v>
      </c>
      <c r="M72" s="9">
        <v>23</v>
      </c>
      <c r="N72" s="13">
        <v>26.975000000000001</v>
      </c>
      <c r="O72" s="14">
        <v>41099</v>
      </c>
      <c r="P72" s="9">
        <f t="shared" si="14"/>
        <v>2012</v>
      </c>
      <c r="Q72" s="9" t="str">
        <f t="shared" si="15"/>
        <v>Jul</v>
      </c>
      <c r="R72" s="9">
        <v>87.211001039999999</v>
      </c>
      <c r="S72" s="15">
        <f t="shared" si="16"/>
        <v>758.38835999999992</v>
      </c>
      <c r="T72" s="9" t="str">
        <f t="shared" si="17"/>
        <v>Luxury</v>
      </c>
      <c r="U72" s="9" t="str">
        <f t="shared" si="18"/>
        <v>Complete</v>
      </c>
      <c r="V72" s="9">
        <f t="shared" si="19"/>
        <v>93</v>
      </c>
      <c r="W72" s="9">
        <f t="shared" si="20"/>
        <v>74</v>
      </c>
    </row>
    <row r="73" spans="1:23" x14ac:dyDescent="0.3">
      <c r="A73" s="9" t="s">
        <v>36</v>
      </c>
      <c r="B73" s="9" t="s">
        <v>160</v>
      </c>
      <c r="C73" s="9" t="s">
        <v>54</v>
      </c>
      <c r="D73" s="12">
        <v>12.698</v>
      </c>
      <c r="E73" s="13">
        <v>37.805</v>
      </c>
      <c r="F73" s="9">
        <v>3</v>
      </c>
      <c r="G73" s="9">
        <v>225</v>
      </c>
      <c r="H73" s="9">
        <v>110.2</v>
      </c>
      <c r="I73" s="9">
        <v>70.900000000000006</v>
      </c>
      <c r="J73" s="9">
        <v>189.2</v>
      </c>
      <c r="K73" s="9">
        <v>3.6379999999999999</v>
      </c>
      <c r="L73" s="9">
        <v>19.8</v>
      </c>
      <c r="M73" s="9">
        <v>23</v>
      </c>
      <c r="N73" s="13">
        <v>32.075000000000003</v>
      </c>
      <c r="O73" s="14">
        <v>41039</v>
      </c>
      <c r="P73" s="9">
        <f t="shared" si="14"/>
        <v>2012</v>
      </c>
      <c r="Q73" s="9" t="str">
        <f t="shared" si="15"/>
        <v>May</v>
      </c>
      <c r="R73" s="9">
        <v>94.946698400000002</v>
      </c>
      <c r="S73" s="15">
        <f t="shared" si="16"/>
        <v>480.04789</v>
      </c>
      <c r="T73" s="9" t="str">
        <f t="shared" si="17"/>
        <v>Luxury</v>
      </c>
      <c r="U73" s="9" t="str">
        <f t="shared" si="18"/>
        <v>Complete</v>
      </c>
      <c r="V73" s="9">
        <f t="shared" si="19"/>
        <v>122</v>
      </c>
      <c r="W73" s="9">
        <f t="shared" si="20"/>
        <v>104</v>
      </c>
    </row>
    <row r="74" spans="1:23" x14ac:dyDescent="0.3">
      <c r="A74" s="9" t="s">
        <v>36</v>
      </c>
      <c r="B74" s="9" t="s">
        <v>161</v>
      </c>
      <c r="C74" s="9" t="s">
        <v>54</v>
      </c>
      <c r="D74" s="12">
        <v>3.3340000000000001</v>
      </c>
      <c r="E74" s="13">
        <v>46.305</v>
      </c>
      <c r="F74" s="9">
        <v>4</v>
      </c>
      <c r="G74" s="9">
        <v>300</v>
      </c>
      <c r="H74" s="9">
        <v>110.2</v>
      </c>
      <c r="I74" s="9">
        <v>70.900000000000006</v>
      </c>
      <c r="J74" s="9">
        <v>189.2</v>
      </c>
      <c r="K74" s="9">
        <v>3.6930000000000001</v>
      </c>
      <c r="L74" s="9">
        <v>19.8</v>
      </c>
      <c r="M74" s="9">
        <v>21</v>
      </c>
      <c r="N74" s="13"/>
      <c r="O74" s="14">
        <v>41241</v>
      </c>
      <c r="P74" s="9">
        <f t="shared" si="14"/>
        <v>2012</v>
      </c>
      <c r="Q74" s="9" t="str">
        <f t="shared" si="15"/>
        <v>Nov</v>
      </c>
      <c r="R74" s="9">
        <v>125.0133574</v>
      </c>
      <c r="S74" s="15">
        <f t="shared" si="16"/>
        <v>154.38087000000002</v>
      </c>
      <c r="T74" s="9" t="str">
        <f t="shared" si="17"/>
        <v>Luxury</v>
      </c>
      <c r="U74" s="9" t="str">
        <f t="shared" si="18"/>
        <v>Incomplete</v>
      </c>
      <c r="V74" s="9">
        <f t="shared" si="19"/>
        <v>147</v>
      </c>
      <c r="W74" s="9">
        <f t="shared" si="20"/>
        <v>139</v>
      </c>
    </row>
    <row r="75" spans="1:23" x14ac:dyDescent="0.3">
      <c r="A75" s="9" t="s">
        <v>36</v>
      </c>
      <c r="B75" s="9" t="s">
        <v>162</v>
      </c>
      <c r="C75" s="9" t="s">
        <v>54</v>
      </c>
      <c r="D75" s="12">
        <v>6.375</v>
      </c>
      <c r="E75" s="13">
        <v>54.005000000000003</v>
      </c>
      <c r="F75" s="9">
        <v>4</v>
      </c>
      <c r="G75" s="9">
        <v>290</v>
      </c>
      <c r="H75" s="9">
        <v>112.2</v>
      </c>
      <c r="I75" s="9">
        <v>72</v>
      </c>
      <c r="J75" s="9">
        <v>196.7</v>
      </c>
      <c r="K75" s="9">
        <v>3.89</v>
      </c>
      <c r="L75" s="9">
        <v>22.5</v>
      </c>
      <c r="M75" s="9">
        <v>22</v>
      </c>
      <c r="N75" s="13">
        <v>40.375</v>
      </c>
      <c r="O75" s="14">
        <v>40997</v>
      </c>
      <c r="P75" s="9">
        <f t="shared" si="14"/>
        <v>2012</v>
      </c>
      <c r="Q75" s="9" t="str">
        <f t="shared" si="15"/>
        <v>Mar</v>
      </c>
      <c r="R75" s="9">
        <v>124.44671630000001</v>
      </c>
      <c r="S75" s="15">
        <f t="shared" si="16"/>
        <v>344.28187500000001</v>
      </c>
      <c r="T75" s="9" t="str">
        <f t="shared" si="17"/>
        <v>Luxury</v>
      </c>
      <c r="U75" s="9" t="str">
        <f t="shared" si="18"/>
        <v>Complete</v>
      </c>
      <c r="V75" s="9">
        <f t="shared" si="19"/>
        <v>139</v>
      </c>
      <c r="W75" s="9">
        <f t="shared" si="20"/>
        <v>124</v>
      </c>
    </row>
    <row r="76" spans="1:23" x14ac:dyDescent="0.3">
      <c r="A76" s="9" t="s">
        <v>36</v>
      </c>
      <c r="B76" s="9" t="s">
        <v>163</v>
      </c>
      <c r="C76" s="9" t="s">
        <v>55</v>
      </c>
      <c r="D76" s="12">
        <v>9.1259999999999994</v>
      </c>
      <c r="E76" s="13">
        <v>60.104999999999997</v>
      </c>
      <c r="F76" s="9">
        <v>4.7</v>
      </c>
      <c r="G76" s="9">
        <v>230</v>
      </c>
      <c r="H76" s="9">
        <v>112.2</v>
      </c>
      <c r="I76" s="9">
        <v>76.400000000000006</v>
      </c>
      <c r="J76" s="9">
        <v>192.5</v>
      </c>
      <c r="K76" s="9">
        <v>5.4009999999999998</v>
      </c>
      <c r="L76" s="9">
        <v>25.4</v>
      </c>
      <c r="M76" s="9">
        <v>15</v>
      </c>
      <c r="N76" s="13"/>
      <c r="O76" s="14">
        <v>41212</v>
      </c>
      <c r="P76" s="9">
        <f t="shared" si="14"/>
        <v>2012</v>
      </c>
      <c r="Q76" s="9" t="str">
        <f t="shared" si="15"/>
        <v>Oct</v>
      </c>
      <c r="R76" s="9">
        <v>105.760458</v>
      </c>
      <c r="S76" s="15">
        <f t="shared" si="16"/>
        <v>548.5182299999999</v>
      </c>
      <c r="T76" s="9" t="str">
        <f t="shared" si="17"/>
        <v>Luxury</v>
      </c>
      <c r="U76" s="9" t="str">
        <f t="shared" si="18"/>
        <v>Incomplete</v>
      </c>
      <c r="V76" s="9">
        <f t="shared" si="19"/>
        <v>132</v>
      </c>
      <c r="W76" s="9">
        <f t="shared" si="20"/>
        <v>94</v>
      </c>
    </row>
    <row r="77" spans="1:23" x14ac:dyDescent="0.3">
      <c r="A77" s="9" t="s">
        <v>36</v>
      </c>
      <c r="B77" s="9" t="s">
        <v>164</v>
      </c>
      <c r="C77" s="9" t="s">
        <v>55</v>
      </c>
      <c r="D77" s="12">
        <v>51.238</v>
      </c>
      <c r="E77" s="13">
        <v>34.604999999999997</v>
      </c>
      <c r="F77" s="9">
        <v>3</v>
      </c>
      <c r="G77" s="9">
        <v>220</v>
      </c>
      <c r="H77" s="9">
        <v>103</v>
      </c>
      <c r="I77" s="9">
        <v>71.5</v>
      </c>
      <c r="J77" s="9">
        <v>180.1</v>
      </c>
      <c r="K77" s="9">
        <v>3.9</v>
      </c>
      <c r="L77" s="9">
        <v>17.2</v>
      </c>
      <c r="M77" s="9">
        <v>21</v>
      </c>
      <c r="N77" s="13"/>
      <c r="O77" s="14">
        <v>40912</v>
      </c>
      <c r="P77" s="9">
        <f t="shared" si="14"/>
        <v>2012</v>
      </c>
      <c r="Q77" s="9" t="str">
        <f t="shared" si="15"/>
        <v>Jan</v>
      </c>
      <c r="R77" s="9">
        <v>91.943801559999997</v>
      </c>
      <c r="S77" s="15">
        <f t="shared" si="16"/>
        <v>1773.0909899999999</v>
      </c>
      <c r="T77" s="9" t="str">
        <f t="shared" si="17"/>
        <v>Luxury</v>
      </c>
      <c r="U77" s="9" t="str">
        <f t="shared" si="18"/>
        <v>Incomplete</v>
      </c>
      <c r="V77" s="9">
        <f t="shared" si="19"/>
        <v>52</v>
      </c>
      <c r="W77" s="9">
        <f t="shared" si="20"/>
        <v>32</v>
      </c>
    </row>
    <row r="78" spans="1:23" x14ac:dyDescent="0.3">
      <c r="A78" s="9" t="s">
        <v>37</v>
      </c>
      <c r="B78" s="9" t="s">
        <v>165</v>
      </c>
      <c r="C78" s="9" t="s">
        <v>54</v>
      </c>
      <c r="D78" s="12">
        <v>13.798</v>
      </c>
      <c r="E78" s="13">
        <v>39.08</v>
      </c>
      <c r="F78" s="9">
        <v>4.5999999999999996</v>
      </c>
      <c r="G78" s="9">
        <v>275</v>
      </c>
      <c r="H78" s="9">
        <v>109</v>
      </c>
      <c r="I78" s="9">
        <v>73.599999999999994</v>
      </c>
      <c r="J78" s="9">
        <v>208.5</v>
      </c>
      <c r="K78" s="9">
        <v>3.8679999999999999</v>
      </c>
      <c r="L78" s="9">
        <v>20</v>
      </c>
      <c r="M78" s="9">
        <v>22</v>
      </c>
      <c r="N78" s="13">
        <v>20.524999999999999</v>
      </c>
      <c r="O78" s="14">
        <v>41124</v>
      </c>
      <c r="P78" s="9">
        <f t="shared" si="14"/>
        <v>2012</v>
      </c>
      <c r="Q78" s="9" t="str">
        <f t="shared" si="15"/>
        <v>Aug</v>
      </c>
      <c r="R78" s="9">
        <v>113.5402069</v>
      </c>
      <c r="S78" s="15">
        <f t="shared" si="16"/>
        <v>539.22583999999995</v>
      </c>
      <c r="T78" s="9" t="str">
        <f t="shared" si="17"/>
        <v>Luxury</v>
      </c>
      <c r="U78" s="9" t="str">
        <f t="shared" si="18"/>
        <v>Complete</v>
      </c>
      <c r="V78" s="9">
        <f t="shared" si="19"/>
        <v>119</v>
      </c>
      <c r="W78" s="9">
        <f t="shared" si="20"/>
        <v>95</v>
      </c>
    </row>
    <row r="79" spans="1:23" x14ac:dyDescent="0.3">
      <c r="A79" s="9" t="s">
        <v>37</v>
      </c>
      <c r="B79" s="9" t="s">
        <v>166</v>
      </c>
      <c r="C79" s="9" t="s">
        <v>54</v>
      </c>
      <c r="D79" s="12">
        <v>48.911000000000001</v>
      </c>
      <c r="E79" s="13">
        <v>43.33</v>
      </c>
      <c r="F79" s="9">
        <v>4.5999999999999996</v>
      </c>
      <c r="G79" s="9">
        <v>215</v>
      </c>
      <c r="H79" s="9">
        <v>117.7</v>
      </c>
      <c r="I79" s="9">
        <v>78.2</v>
      </c>
      <c r="J79" s="9">
        <v>215.3</v>
      </c>
      <c r="K79" s="9">
        <v>4.1210000000000004</v>
      </c>
      <c r="L79" s="9">
        <v>19</v>
      </c>
      <c r="M79" s="9">
        <v>21</v>
      </c>
      <c r="N79" s="13">
        <v>21.725000000000001</v>
      </c>
      <c r="O79" s="14">
        <v>41064</v>
      </c>
      <c r="P79" s="9">
        <f t="shared" si="14"/>
        <v>2012</v>
      </c>
      <c r="Q79" s="9" t="str">
        <f t="shared" si="15"/>
        <v>Jun</v>
      </c>
      <c r="R79" s="9">
        <v>93.957916900000001</v>
      </c>
      <c r="S79" s="15">
        <f t="shared" si="16"/>
        <v>2119.3136300000001</v>
      </c>
      <c r="T79" s="9" t="str">
        <f t="shared" si="17"/>
        <v>Luxury</v>
      </c>
      <c r="U79" s="9" t="str">
        <f t="shared" si="18"/>
        <v>Complete</v>
      </c>
      <c r="V79" s="9">
        <f t="shared" si="19"/>
        <v>56</v>
      </c>
      <c r="W79" s="9">
        <f t="shared" si="20"/>
        <v>20</v>
      </c>
    </row>
    <row r="80" spans="1:23" x14ac:dyDescent="0.3">
      <c r="A80" s="9" t="s">
        <v>37</v>
      </c>
      <c r="B80" s="9" t="s">
        <v>167</v>
      </c>
      <c r="C80" s="9" t="s">
        <v>55</v>
      </c>
      <c r="D80" s="12">
        <v>22.925000000000001</v>
      </c>
      <c r="E80" s="13">
        <v>42.66</v>
      </c>
      <c r="F80" s="9">
        <v>5.4</v>
      </c>
      <c r="G80" s="9">
        <v>300</v>
      </c>
      <c r="H80" s="9">
        <v>119</v>
      </c>
      <c r="I80" s="9">
        <v>79.900000000000006</v>
      </c>
      <c r="J80" s="9">
        <v>204.8</v>
      </c>
      <c r="K80" s="9">
        <v>5.3929999999999998</v>
      </c>
      <c r="L80" s="9">
        <v>30</v>
      </c>
      <c r="M80" s="9">
        <v>15</v>
      </c>
      <c r="N80" s="13"/>
      <c r="O80" s="14">
        <v>41266</v>
      </c>
      <c r="P80" s="9">
        <f t="shared" si="14"/>
        <v>2012</v>
      </c>
      <c r="Q80" s="9" t="str">
        <f t="shared" si="15"/>
        <v>Dec</v>
      </c>
      <c r="R80" s="9">
        <v>123.97204670000001</v>
      </c>
      <c r="S80" s="15">
        <f t="shared" si="16"/>
        <v>977.98050000000001</v>
      </c>
      <c r="T80" s="9" t="str">
        <f t="shared" si="17"/>
        <v>Luxury</v>
      </c>
      <c r="U80" s="9" t="str">
        <f t="shared" si="18"/>
        <v>Incomplete</v>
      </c>
      <c r="V80" s="9">
        <f t="shared" si="19"/>
        <v>95</v>
      </c>
      <c r="W80" s="9">
        <f t="shared" si="20"/>
        <v>55</v>
      </c>
    </row>
    <row r="81" spans="1:23" x14ac:dyDescent="0.3">
      <c r="A81" s="9" t="s">
        <v>40</v>
      </c>
      <c r="B81" s="9" t="s">
        <v>168</v>
      </c>
      <c r="C81" s="9" t="s">
        <v>54</v>
      </c>
      <c r="D81" s="12">
        <v>26.231999999999999</v>
      </c>
      <c r="E81" s="13">
        <v>13.987</v>
      </c>
      <c r="F81" s="9">
        <v>1.8</v>
      </c>
      <c r="G81" s="9">
        <v>113</v>
      </c>
      <c r="H81" s="9">
        <v>98.4</v>
      </c>
      <c r="I81" s="9">
        <v>66.5</v>
      </c>
      <c r="J81" s="9">
        <v>173.6</v>
      </c>
      <c r="K81" s="9">
        <v>2.25</v>
      </c>
      <c r="L81" s="9">
        <v>13.2</v>
      </c>
      <c r="M81" s="9">
        <v>30</v>
      </c>
      <c r="N81" s="13">
        <v>8.3249999999999993</v>
      </c>
      <c r="O81" s="14">
        <v>41022</v>
      </c>
      <c r="P81" s="9">
        <f t="shared" si="14"/>
        <v>2012</v>
      </c>
      <c r="Q81" s="9" t="str">
        <f t="shared" si="15"/>
        <v>Apr</v>
      </c>
      <c r="R81" s="9">
        <v>45.832180559999998</v>
      </c>
      <c r="S81" s="15">
        <f t="shared" si="16"/>
        <v>366.90698399999997</v>
      </c>
      <c r="T81" s="9" t="str">
        <f t="shared" si="17"/>
        <v>Budget</v>
      </c>
      <c r="U81" s="9" t="str">
        <f t="shared" si="18"/>
        <v>Complete</v>
      </c>
      <c r="V81" s="9">
        <f t="shared" si="19"/>
        <v>87</v>
      </c>
      <c r="W81" s="9">
        <f t="shared" si="20"/>
        <v>118</v>
      </c>
    </row>
    <row r="82" spans="1:23" x14ac:dyDescent="0.3">
      <c r="A82" s="9" t="s">
        <v>40</v>
      </c>
      <c r="B82" s="9" t="s">
        <v>169</v>
      </c>
      <c r="C82" s="9" t="s">
        <v>54</v>
      </c>
      <c r="D82" s="12">
        <v>42.540999999999997</v>
      </c>
      <c r="E82" s="13">
        <v>19.047000000000001</v>
      </c>
      <c r="F82" s="9">
        <v>2.4</v>
      </c>
      <c r="G82" s="9">
        <v>154</v>
      </c>
      <c r="H82" s="9">
        <v>100.8</v>
      </c>
      <c r="I82" s="9">
        <v>68.900000000000006</v>
      </c>
      <c r="J82" s="9">
        <v>175.4</v>
      </c>
      <c r="K82" s="9">
        <v>2.91</v>
      </c>
      <c r="L82" s="9">
        <v>15.9</v>
      </c>
      <c r="M82" s="9">
        <v>24</v>
      </c>
      <c r="N82" s="13">
        <v>10.395</v>
      </c>
      <c r="O82" s="14">
        <v>41237</v>
      </c>
      <c r="P82" s="9">
        <f t="shared" si="14"/>
        <v>2012</v>
      </c>
      <c r="Q82" s="9" t="str">
        <f t="shared" si="15"/>
        <v>Nov</v>
      </c>
      <c r="R82" s="9">
        <v>62.441962349999997</v>
      </c>
      <c r="S82" s="15">
        <f t="shared" si="16"/>
        <v>810.27842699999997</v>
      </c>
      <c r="T82" s="9" t="str">
        <f t="shared" si="17"/>
        <v>Mid-range</v>
      </c>
      <c r="U82" s="9" t="str">
        <f t="shared" si="18"/>
        <v>Complete</v>
      </c>
      <c r="V82" s="9">
        <f t="shared" si="19"/>
        <v>61</v>
      </c>
      <c r="W82" s="9">
        <f t="shared" si="20"/>
        <v>68</v>
      </c>
    </row>
    <row r="83" spans="1:23" x14ac:dyDescent="0.3">
      <c r="A83" s="9" t="s">
        <v>40</v>
      </c>
      <c r="B83" s="9" t="s">
        <v>170</v>
      </c>
      <c r="C83" s="9" t="s">
        <v>54</v>
      </c>
      <c r="D83" s="12">
        <v>55.616</v>
      </c>
      <c r="E83" s="13">
        <v>17.356999999999999</v>
      </c>
      <c r="F83" s="9">
        <v>2.4</v>
      </c>
      <c r="G83" s="9">
        <v>145</v>
      </c>
      <c r="H83" s="9">
        <v>103.7</v>
      </c>
      <c r="I83" s="9">
        <v>68.5</v>
      </c>
      <c r="J83" s="9">
        <v>187.8</v>
      </c>
      <c r="K83" s="9">
        <v>2.9449999999999998</v>
      </c>
      <c r="L83" s="9">
        <v>16.3</v>
      </c>
      <c r="M83" s="9">
        <v>25</v>
      </c>
      <c r="N83" s="13">
        <v>10.595000000000001</v>
      </c>
      <c r="O83" s="14">
        <v>40937</v>
      </c>
      <c r="P83" s="9">
        <f t="shared" si="14"/>
        <v>2012</v>
      </c>
      <c r="Q83" s="9" t="str">
        <f t="shared" si="15"/>
        <v>Jan</v>
      </c>
      <c r="R83" s="9">
        <v>58.606772919999997</v>
      </c>
      <c r="S83" s="15">
        <f t="shared" si="16"/>
        <v>965.32691199999999</v>
      </c>
      <c r="T83" s="9" t="str">
        <f t="shared" si="17"/>
        <v>Mid-range</v>
      </c>
      <c r="U83" s="9" t="str">
        <f t="shared" si="18"/>
        <v>Complete</v>
      </c>
      <c r="V83" s="9">
        <f t="shared" si="19"/>
        <v>47</v>
      </c>
      <c r="W83" s="9">
        <f t="shared" si="20"/>
        <v>57</v>
      </c>
    </row>
    <row r="84" spans="1:23" x14ac:dyDescent="0.3">
      <c r="A84" s="9" t="s">
        <v>40</v>
      </c>
      <c r="B84" s="9" t="s">
        <v>171</v>
      </c>
      <c r="C84" s="9" t="s">
        <v>54</v>
      </c>
      <c r="D84" s="12">
        <v>5.7110000000000003</v>
      </c>
      <c r="E84" s="13">
        <v>24.997</v>
      </c>
      <c r="F84" s="9">
        <v>3.5</v>
      </c>
      <c r="G84" s="9">
        <v>210</v>
      </c>
      <c r="H84" s="9">
        <v>107.1</v>
      </c>
      <c r="I84" s="9">
        <v>70.3</v>
      </c>
      <c r="J84" s="9">
        <v>194.1</v>
      </c>
      <c r="K84" s="9">
        <v>3.4430000000000001</v>
      </c>
      <c r="L84" s="9">
        <v>19</v>
      </c>
      <c r="M84" s="9">
        <v>22</v>
      </c>
      <c r="N84" s="13">
        <v>16.574999999999999</v>
      </c>
      <c r="O84" s="14">
        <v>41149</v>
      </c>
      <c r="P84" s="9">
        <f t="shared" si="14"/>
        <v>2012</v>
      </c>
      <c r="Q84" s="9" t="str">
        <f t="shared" si="15"/>
        <v>Aug</v>
      </c>
      <c r="R84" s="9">
        <v>84.83077858</v>
      </c>
      <c r="S84" s="15">
        <f t="shared" si="16"/>
        <v>142.757867</v>
      </c>
      <c r="T84" s="9" t="str">
        <f t="shared" si="17"/>
        <v>Mid-range</v>
      </c>
      <c r="U84" s="9" t="str">
        <f t="shared" si="18"/>
        <v>Complete</v>
      </c>
      <c r="V84" s="9">
        <f t="shared" si="19"/>
        <v>140</v>
      </c>
      <c r="W84" s="9">
        <f t="shared" si="20"/>
        <v>141</v>
      </c>
    </row>
    <row r="85" spans="1:23" x14ac:dyDescent="0.3">
      <c r="A85" s="9" t="s">
        <v>40</v>
      </c>
      <c r="B85" s="9" t="s">
        <v>172</v>
      </c>
      <c r="C85" s="9" t="s">
        <v>54</v>
      </c>
      <c r="D85" s="12">
        <v>0.11</v>
      </c>
      <c r="E85" s="13">
        <v>25.45</v>
      </c>
      <c r="F85" s="9">
        <v>3</v>
      </c>
      <c r="G85" s="9">
        <v>161</v>
      </c>
      <c r="H85" s="9">
        <v>97.2</v>
      </c>
      <c r="I85" s="9">
        <v>72.400000000000006</v>
      </c>
      <c r="J85" s="9">
        <v>180.3</v>
      </c>
      <c r="K85" s="9">
        <v>3.1309999999999998</v>
      </c>
      <c r="L85" s="9">
        <v>19.8</v>
      </c>
      <c r="M85" s="9">
        <v>21</v>
      </c>
      <c r="N85" s="13">
        <v>20.94</v>
      </c>
      <c r="O85" s="14">
        <v>41089</v>
      </c>
      <c r="P85" s="9">
        <f t="shared" si="14"/>
        <v>2012</v>
      </c>
      <c r="Q85" s="9" t="str">
        <f t="shared" si="15"/>
        <v>Jun</v>
      </c>
      <c r="R85" s="9">
        <v>67.544154939999999</v>
      </c>
      <c r="S85" s="15">
        <f t="shared" si="16"/>
        <v>2.7995000000000001</v>
      </c>
      <c r="T85" s="9" t="str">
        <f t="shared" si="17"/>
        <v>Mid-range</v>
      </c>
      <c r="U85" s="9" t="str">
        <f t="shared" si="18"/>
        <v>Complete</v>
      </c>
      <c r="V85" s="9">
        <f t="shared" si="19"/>
        <v>157</v>
      </c>
      <c r="W85" s="9">
        <f t="shared" si="20"/>
        <v>155</v>
      </c>
    </row>
    <row r="86" spans="1:23" x14ac:dyDescent="0.3">
      <c r="A86" s="9" t="s">
        <v>40</v>
      </c>
      <c r="B86" s="9" t="s">
        <v>173</v>
      </c>
      <c r="C86" s="9" t="s">
        <v>55</v>
      </c>
      <c r="D86" s="12">
        <v>11.337</v>
      </c>
      <c r="E86" s="13">
        <v>31.806999999999999</v>
      </c>
      <c r="F86" s="9">
        <v>3.5</v>
      </c>
      <c r="G86" s="9">
        <v>200</v>
      </c>
      <c r="H86" s="9">
        <v>107.3</v>
      </c>
      <c r="I86" s="9">
        <v>69.900000000000006</v>
      </c>
      <c r="J86" s="9">
        <v>186.6</v>
      </c>
      <c r="K86" s="9">
        <v>4.5199999999999996</v>
      </c>
      <c r="L86" s="9">
        <v>24.3</v>
      </c>
      <c r="M86" s="9">
        <v>18</v>
      </c>
      <c r="N86" s="13">
        <v>19.125</v>
      </c>
      <c r="O86" s="14">
        <v>40925</v>
      </c>
      <c r="P86" s="9">
        <f t="shared" si="14"/>
        <v>2012</v>
      </c>
      <c r="Q86" s="9" t="str">
        <f t="shared" si="15"/>
        <v>Jan</v>
      </c>
      <c r="R86" s="9">
        <v>83.920815039999994</v>
      </c>
      <c r="S86" s="15">
        <f t="shared" si="16"/>
        <v>360.59595899999999</v>
      </c>
      <c r="T86" s="9" t="str">
        <f t="shared" si="17"/>
        <v>Luxury</v>
      </c>
      <c r="U86" s="9" t="str">
        <f t="shared" si="18"/>
        <v>Complete</v>
      </c>
      <c r="V86" s="9">
        <f t="shared" si="19"/>
        <v>125</v>
      </c>
      <c r="W86" s="9">
        <f t="shared" si="20"/>
        <v>121</v>
      </c>
    </row>
    <row r="87" spans="1:23" x14ac:dyDescent="0.3">
      <c r="A87" s="9" t="s">
        <v>40</v>
      </c>
      <c r="B87" s="9" t="s">
        <v>174</v>
      </c>
      <c r="C87" s="9" t="s">
        <v>55</v>
      </c>
      <c r="D87" s="12">
        <v>39.347999999999999</v>
      </c>
      <c r="E87" s="13">
        <v>22.527000000000001</v>
      </c>
      <c r="F87" s="9">
        <v>3</v>
      </c>
      <c r="G87" s="9">
        <v>173</v>
      </c>
      <c r="H87" s="9">
        <v>107.3</v>
      </c>
      <c r="I87" s="9">
        <v>66.7</v>
      </c>
      <c r="J87" s="9">
        <v>178.3</v>
      </c>
      <c r="K87" s="9">
        <v>3.51</v>
      </c>
      <c r="L87" s="9">
        <v>19.5</v>
      </c>
      <c r="M87" s="9">
        <v>20</v>
      </c>
      <c r="N87" s="13">
        <v>13.88</v>
      </c>
      <c r="O87" s="14">
        <v>41047</v>
      </c>
      <c r="P87" s="9">
        <f t="shared" si="14"/>
        <v>2012</v>
      </c>
      <c r="Q87" s="9" t="str">
        <f t="shared" si="15"/>
        <v>May</v>
      </c>
      <c r="R87" s="9">
        <v>70.660941789999995</v>
      </c>
      <c r="S87" s="15">
        <f t="shared" si="16"/>
        <v>886.39239599999996</v>
      </c>
      <c r="T87" s="9" t="str">
        <f t="shared" si="17"/>
        <v>Mid-range</v>
      </c>
      <c r="U87" s="9" t="str">
        <f t="shared" si="18"/>
        <v>Complete</v>
      </c>
      <c r="V87" s="9">
        <f t="shared" si="19"/>
        <v>66</v>
      </c>
      <c r="W87" s="9">
        <f t="shared" si="20"/>
        <v>62</v>
      </c>
    </row>
    <row r="88" spans="1:23" x14ac:dyDescent="0.3">
      <c r="A88" s="9" t="s">
        <v>39</v>
      </c>
      <c r="B88" s="9" t="s">
        <v>175</v>
      </c>
      <c r="C88" s="9" t="s">
        <v>54</v>
      </c>
      <c r="D88" s="12">
        <v>14.351000000000001</v>
      </c>
      <c r="E88" s="13">
        <v>16.239999999999998</v>
      </c>
      <c r="F88" s="9">
        <v>2</v>
      </c>
      <c r="G88" s="9">
        <v>125</v>
      </c>
      <c r="H88" s="9">
        <v>106.5</v>
      </c>
      <c r="I88" s="9">
        <v>69.099999999999994</v>
      </c>
      <c r="J88" s="9">
        <v>184.8</v>
      </c>
      <c r="K88" s="9">
        <v>2.7690000000000001</v>
      </c>
      <c r="L88" s="9">
        <v>15</v>
      </c>
      <c r="M88" s="9">
        <v>28</v>
      </c>
      <c r="N88" s="13">
        <v>8.8000000000000007</v>
      </c>
      <c r="O88" s="14">
        <v>41262</v>
      </c>
      <c r="P88" s="9">
        <f t="shared" si="14"/>
        <v>2012</v>
      </c>
      <c r="Q88" s="9" t="str">
        <f t="shared" si="15"/>
        <v>Dec</v>
      </c>
      <c r="R88" s="9">
        <v>50.997747609999998</v>
      </c>
      <c r="S88" s="15">
        <f t="shared" si="16"/>
        <v>233.06023999999999</v>
      </c>
      <c r="T88" s="9" t="str">
        <f t="shared" si="17"/>
        <v>Mid-range</v>
      </c>
      <c r="U88" s="9" t="str">
        <f t="shared" si="18"/>
        <v>Complete</v>
      </c>
      <c r="V88" s="9">
        <f t="shared" si="19"/>
        <v>117</v>
      </c>
      <c r="W88" s="9">
        <f t="shared" si="20"/>
        <v>133</v>
      </c>
    </row>
    <row r="89" spans="1:23" x14ac:dyDescent="0.3">
      <c r="A89" s="9" t="s">
        <v>39</v>
      </c>
      <c r="B89" s="9" t="s">
        <v>176</v>
      </c>
      <c r="C89" s="9" t="s">
        <v>54</v>
      </c>
      <c r="D89" s="12">
        <v>26.529</v>
      </c>
      <c r="E89" s="13">
        <v>16.54</v>
      </c>
      <c r="F89" s="9">
        <v>2</v>
      </c>
      <c r="G89" s="9">
        <v>125</v>
      </c>
      <c r="H89" s="9">
        <v>106.4</v>
      </c>
      <c r="I89" s="9">
        <v>69.599999999999994</v>
      </c>
      <c r="J89" s="9">
        <v>185</v>
      </c>
      <c r="K89" s="9">
        <v>2.8919999999999999</v>
      </c>
      <c r="L89" s="9">
        <v>16</v>
      </c>
      <c r="M89" s="9">
        <v>30</v>
      </c>
      <c r="N89" s="13">
        <v>13.89</v>
      </c>
      <c r="O89" s="14">
        <v>40962</v>
      </c>
      <c r="P89" s="9">
        <f t="shared" si="14"/>
        <v>2012</v>
      </c>
      <c r="Q89" s="9" t="str">
        <f t="shared" si="15"/>
        <v>Feb</v>
      </c>
      <c r="R89" s="9">
        <v>51.113474259999997</v>
      </c>
      <c r="S89" s="15">
        <f t="shared" si="16"/>
        <v>438.78965999999997</v>
      </c>
      <c r="T89" s="9" t="str">
        <f t="shared" si="17"/>
        <v>Mid-range</v>
      </c>
      <c r="U89" s="9" t="str">
        <f t="shared" si="18"/>
        <v>Complete</v>
      </c>
      <c r="V89" s="9">
        <f t="shared" si="19"/>
        <v>85</v>
      </c>
      <c r="W89" s="9">
        <f t="shared" si="20"/>
        <v>110</v>
      </c>
    </row>
    <row r="90" spans="1:23" x14ac:dyDescent="0.3">
      <c r="A90" s="9" t="s">
        <v>39</v>
      </c>
      <c r="B90" s="9" t="s">
        <v>177</v>
      </c>
      <c r="C90" s="9" t="s">
        <v>54</v>
      </c>
      <c r="D90" s="12">
        <v>67.956000000000003</v>
      </c>
      <c r="E90" s="13">
        <v>19.035</v>
      </c>
      <c r="F90" s="9">
        <v>3</v>
      </c>
      <c r="G90" s="9">
        <v>153</v>
      </c>
      <c r="H90" s="9">
        <v>108.5</v>
      </c>
      <c r="I90" s="9">
        <v>73</v>
      </c>
      <c r="J90" s="9">
        <v>199.7</v>
      </c>
      <c r="K90" s="9">
        <v>3.379</v>
      </c>
      <c r="L90" s="9">
        <v>16</v>
      </c>
      <c r="M90" s="9">
        <v>24</v>
      </c>
      <c r="N90" s="13">
        <v>11.03</v>
      </c>
      <c r="O90" s="14">
        <v>41174</v>
      </c>
      <c r="P90" s="9">
        <f t="shared" si="14"/>
        <v>2012</v>
      </c>
      <c r="Q90" s="9" t="str">
        <f t="shared" si="15"/>
        <v>Sep</v>
      </c>
      <c r="R90" s="9">
        <v>62.239966629999998</v>
      </c>
      <c r="S90" s="15">
        <f t="shared" si="16"/>
        <v>1293.5424600000001</v>
      </c>
      <c r="T90" s="9" t="str">
        <f t="shared" si="17"/>
        <v>Mid-range</v>
      </c>
      <c r="U90" s="9" t="str">
        <f t="shared" si="18"/>
        <v>Complete</v>
      </c>
      <c r="V90" s="9">
        <f t="shared" si="19"/>
        <v>40</v>
      </c>
      <c r="W90" s="9">
        <f t="shared" si="20"/>
        <v>43</v>
      </c>
    </row>
    <row r="91" spans="1:23" x14ac:dyDescent="0.3">
      <c r="A91" s="9" t="s">
        <v>39</v>
      </c>
      <c r="B91" s="9" t="s">
        <v>178</v>
      </c>
      <c r="C91" s="9" t="s">
        <v>54</v>
      </c>
      <c r="D91" s="12">
        <v>81.174000000000007</v>
      </c>
      <c r="E91" s="13">
        <v>22.605</v>
      </c>
      <c r="F91" s="9">
        <v>4.5999999999999996</v>
      </c>
      <c r="G91" s="9">
        <v>200</v>
      </c>
      <c r="H91" s="9">
        <v>114.7</v>
      </c>
      <c r="I91" s="9">
        <v>78.2</v>
      </c>
      <c r="J91" s="9">
        <v>212</v>
      </c>
      <c r="K91" s="9">
        <v>3.9580000000000002</v>
      </c>
      <c r="L91" s="9">
        <v>19</v>
      </c>
      <c r="M91" s="9">
        <v>21</v>
      </c>
      <c r="N91" s="13">
        <v>14.875</v>
      </c>
      <c r="O91" s="14">
        <v>41114</v>
      </c>
      <c r="P91" s="9">
        <f t="shared" si="14"/>
        <v>2012</v>
      </c>
      <c r="Q91" s="9" t="str">
        <f t="shared" si="15"/>
        <v>Jul</v>
      </c>
      <c r="R91" s="9">
        <v>80.657696459999997</v>
      </c>
      <c r="S91" s="15">
        <f t="shared" si="16"/>
        <v>1834.9382700000001</v>
      </c>
      <c r="T91" s="9" t="str">
        <f t="shared" si="17"/>
        <v>Mid-range</v>
      </c>
      <c r="U91" s="9" t="str">
        <f t="shared" si="18"/>
        <v>Complete</v>
      </c>
      <c r="V91" s="9">
        <f t="shared" si="19"/>
        <v>29</v>
      </c>
      <c r="W91" s="9">
        <f t="shared" si="20"/>
        <v>30</v>
      </c>
    </row>
    <row r="92" spans="1:23" x14ac:dyDescent="0.3">
      <c r="A92" s="9" t="s">
        <v>39</v>
      </c>
      <c r="B92" s="9" t="s">
        <v>179</v>
      </c>
      <c r="C92" s="9" t="s">
        <v>55</v>
      </c>
      <c r="D92" s="12">
        <v>27.609000000000002</v>
      </c>
      <c r="E92" s="13">
        <v>27.56</v>
      </c>
      <c r="F92" s="9">
        <v>4</v>
      </c>
      <c r="G92" s="9">
        <v>210</v>
      </c>
      <c r="H92" s="9">
        <v>111.6</v>
      </c>
      <c r="I92" s="9">
        <v>70.2</v>
      </c>
      <c r="J92" s="9">
        <v>190.1</v>
      </c>
      <c r="K92" s="9">
        <v>3.8759999999999999</v>
      </c>
      <c r="L92" s="9">
        <v>21</v>
      </c>
      <c r="M92" s="9">
        <v>18</v>
      </c>
      <c r="N92" s="13">
        <v>20.43</v>
      </c>
      <c r="O92" s="14">
        <v>39491</v>
      </c>
      <c r="P92" s="9">
        <f t="shared" si="14"/>
        <v>2008</v>
      </c>
      <c r="Q92" s="9" t="str">
        <f t="shared" si="15"/>
        <v>Feb</v>
      </c>
      <c r="R92" s="9">
        <v>85.949744249999995</v>
      </c>
      <c r="S92" s="15">
        <f t="shared" si="16"/>
        <v>760.90404000000001</v>
      </c>
      <c r="T92" s="9" t="str">
        <f t="shared" si="17"/>
        <v>Mid-range</v>
      </c>
      <c r="U92" s="9" t="str">
        <f t="shared" si="18"/>
        <v>Complete</v>
      </c>
      <c r="V92" s="9">
        <f t="shared" si="19"/>
        <v>82</v>
      </c>
      <c r="W92" s="9">
        <f t="shared" si="20"/>
        <v>73</v>
      </c>
    </row>
    <row r="93" spans="1:23" x14ac:dyDescent="0.3">
      <c r="A93" s="9" t="s">
        <v>39</v>
      </c>
      <c r="B93" s="9" t="s">
        <v>180</v>
      </c>
      <c r="C93" s="9" t="s">
        <v>55</v>
      </c>
      <c r="D93" s="12">
        <v>20.38</v>
      </c>
      <c r="E93" s="13">
        <v>22.51</v>
      </c>
      <c r="F93" s="9">
        <v>3.3</v>
      </c>
      <c r="G93" s="9">
        <v>170</v>
      </c>
      <c r="H93" s="9">
        <v>112.2</v>
      </c>
      <c r="I93" s="9">
        <v>74.900000000000006</v>
      </c>
      <c r="J93" s="9">
        <v>194.7</v>
      </c>
      <c r="K93" s="9">
        <v>3.944</v>
      </c>
      <c r="L93" s="9">
        <v>20</v>
      </c>
      <c r="M93" s="9">
        <v>21</v>
      </c>
      <c r="N93" s="13">
        <v>14.795</v>
      </c>
      <c r="O93" s="14">
        <v>40106</v>
      </c>
      <c r="P93" s="9">
        <f t="shared" si="14"/>
        <v>2009</v>
      </c>
      <c r="Q93" s="9" t="str">
        <f t="shared" si="15"/>
        <v>Oct</v>
      </c>
      <c r="R93" s="9">
        <v>69.671460999999994</v>
      </c>
      <c r="S93" s="15">
        <f t="shared" si="16"/>
        <v>458.75380000000001</v>
      </c>
      <c r="T93" s="9" t="str">
        <f t="shared" si="17"/>
        <v>Mid-range</v>
      </c>
      <c r="U93" s="9" t="str">
        <f t="shared" si="18"/>
        <v>Complete</v>
      </c>
      <c r="V93" s="9">
        <f t="shared" si="19"/>
        <v>98</v>
      </c>
      <c r="W93" s="9">
        <f t="shared" si="20"/>
        <v>106</v>
      </c>
    </row>
    <row r="94" spans="1:23" x14ac:dyDescent="0.3">
      <c r="A94" s="9" t="s">
        <v>38</v>
      </c>
      <c r="B94" s="9" t="s">
        <v>181</v>
      </c>
      <c r="C94" s="9" t="s">
        <v>54</v>
      </c>
      <c r="D94" s="12">
        <v>18.391999999999999</v>
      </c>
      <c r="E94" s="13">
        <v>31.75</v>
      </c>
      <c r="F94" s="9">
        <v>2.2999999999999998</v>
      </c>
      <c r="G94" s="9">
        <v>185</v>
      </c>
      <c r="H94" s="9">
        <v>105.9</v>
      </c>
      <c r="I94" s="9">
        <v>67.7</v>
      </c>
      <c r="J94" s="9">
        <v>177.4</v>
      </c>
      <c r="K94" s="9">
        <v>3.25</v>
      </c>
      <c r="L94" s="9">
        <v>16.399999999999999</v>
      </c>
      <c r="M94" s="9">
        <v>26</v>
      </c>
      <c r="N94" s="13">
        <v>26.05</v>
      </c>
      <c r="O94" s="14">
        <v>40657</v>
      </c>
      <c r="P94" s="9">
        <f t="shared" si="14"/>
        <v>2011</v>
      </c>
      <c r="Q94" s="9" t="str">
        <f t="shared" si="15"/>
        <v>Apr</v>
      </c>
      <c r="R94" s="9">
        <v>78.280730879999993</v>
      </c>
      <c r="S94" s="15">
        <f t="shared" si="16"/>
        <v>583.94600000000003</v>
      </c>
      <c r="T94" s="9" t="str">
        <f t="shared" si="17"/>
        <v>Luxury</v>
      </c>
      <c r="U94" s="9" t="str">
        <f t="shared" si="18"/>
        <v>Complete</v>
      </c>
      <c r="V94" s="9">
        <f t="shared" si="19"/>
        <v>104</v>
      </c>
      <c r="W94" s="9">
        <f t="shared" si="20"/>
        <v>90</v>
      </c>
    </row>
    <row r="95" spans="1:23" x14ac:dyDescent="0.3">
      <c r="A95" s="9" t="s">
        <v>38</v>
      </c>
      <c r="B95" s="9" t="s">
        <v>182</v>
      </c>
      <c r="C95" s="9" t="s">
        <v>54</v>
      </c>
      <c r="D95" s="12">
        <v>27.602</v>
      </c>
      <c r="E95" s="13">
        <v>49.9</v>
      </c>
      <c r="F95" s="9">
        <v>3.2</v>
      </c>
      <c r="G95" s="9">
        <v>221</v>
      </c>
      <c r="H95" s="9">
        <v>111.5</v>
      </c>
      <c r="I95" s="9">
        <v>70.8</v>
      </c>
      <c r="J95" s="9">
        <v>189.4</v>
      </c>
      <c r="K95" s="9">
        <v>3.823</v>
      </c>
      <c r="L95" s="9">
        <v>21.1</v>
      </c>
      <c r="M95" s="9">
        <v>25</v>
      </c>
      <c r="N95" s="13">
        <v>41.45</v>
      </c>
      <c r="O95" s="14">
        <v>40736</v>
      </c>
      <c r="P95" s="9">
        <f t="shared" si="14"/>
        <v>2011</v>
      </c>
      <c r="Q95" s="9" t="str">
        <f t="shared" si="15"/>
        <v>Jul</v>
      </c>
      <c r="R95" s="9">
        <v>98.249737499999995</v>
      </c>
      <c r="S95" s="15">
        <f t="shared" si="16"/>
        <v>1377.3398</v>
      </c>
      <c r="T95" s="9" t="str">
        <f t="shared" si="17"/>
        <v>Luxury</v>
      </c>
      <c r="U95" s="9" t="str">
        <f t="shared" si="18"/>
        <v>Complete</v>
      </c>
      <c r="V95" s="9">
        <f t="shared" si="19"/>
        <v>83</v>
      </c>
      <c r="W95" s="9">
        <f t="shared" si="20"/>
        <v>42</v>
      </c>
    </row>
    <row r="96" spans="1:23" x14ac:dyDescent="0.3">
      <c r="A96" s="9" t="s">
        <v>38</v>
      </c>
      <c r="B96" s="9" t="s">
        <v>183</v>
      </c>
      <c r="C96" s="9" t="s">
        <v>54</v>
      </c>
      <c r="D96" s="12">
        <v>16.774000000000001</v>
      </c>
      <c r="E96" s="13">
        <v>69.7</v>
      </c>
      <c r="F96" s="9">
        <v>4.3</v>
      </c>
      <c r="G96" s="9">
        <v>275</v>
      </c>
      <c r="H96" s="9">
        <v>121.5</v>
      </c>
      <c r="I96" s="9">
        <v>73.099999999999994</v>
      </c>
      <c r="J96" s="9">
        <v>203.1</v>
      </c>
      <c r="K96" s="9">
        <v>4.133</v>
      </c>
      <c r="L96" s="9">
        <v>23.2</v>
      </c>
      <c r="M96" s="9">
        <v>21</v>
      </c>
      <c r="N96" s="13">
        <v>50.375</v>
      </c>
      <c r="O96" s="14">
        <v>40707</v>
      </c>
      <c r="P96" s="9">
        <f t="shared" si="14"/>
        <v>2011</v>
      </c>
      <c r="Q96" s="9" t="str">
        <f t="shared" si="15"/>
        <v>Jun</v>
      </c>
      <c r="R96" s="9">
        <v>125.2738757</v>
      </c>
      <c r="S96" s="15">
        <f t="shared" si="16"/>
        <v>1169.1478000000002</v>
      </c>
      <c r="T96" s="9" t="str">
        <f t="shared" si="17"/>
        <v>Luxury</v>
      </c>
      <c r="U96" s="9" t="str">
        <f t="shared" si="18"/>
        <v>Complete</v>
      </c>
      <c r="V96" s="9">
        <f t="shared" si="19"/>
        <v>110</v>
      </c>
      <c r="W96" s="9">
        <f t="shared" si="20"/>
        <v>46</v>
      </c>
    </row>
    <row r="97" spans="1:23" x14ac:dyDescent="0.3">
      <c r="A97" s="9" t="s">
        <v>38</v>
      </c>
      <c r="B97" s="9" t="s">
        <v>184</v>
      </c>
      <c r="C97" s="9" t="s">
        <v>54</v>
      </c>
      <c r="D97" s="12">
        <v>3.3109999999999999</v>
      </c>
      <c r="E97" s="13">
        <v>82.6</v>
      </c>
      <c r="F97" s="9">
        <v>5</v>
      </c>
      <c r="G97" s="9">
        <v>302</v>
      </c>
      <c r="H97" s="9">
        <v>99</v>
      </c>
      <c r="I97" s="9">
        <v>71.3</v>
      </c>
      <c r="J97" s="9">
        <v>177.1</v>
      </c>
      <c r="K97" s="9">
        <v>4.125</v>
      </c>
      <c r="L97" s="9">
        <v>21.1</v>
      </c>
      <c r="M97" s="9">
        <v>20</v>
      </c>
      <c r="N97" s="13">
        <v>58.6</v>
      </c>
      <c r="O97" s="14">
        <v>40619</v>
      </c>
      <c r="P97" s="9">
        <f t="shared" si="14"/>
        <v>2011</v>
      </c>
      <c r="Q97" s="9" t="str">
        <f t="shared" si="15"/>
        <v>Mar</v>
      </c>
      <c r="R97" s="9">
        <v>139.98229359999999</v>
      </c>
      <c r="S97" s="15">
        <f t="shared" si="16"/>
        <v>273.48859999999996</v>
      </c>
      <c r="T97" s="9" t="str">
        <f t="shared" si="17"/>
        <v>Luxury</v>
      </c>
      <c r="U97" s="9" t="str">
        <f t="shared" si="18"/>
        <v>Complete</v>
      </c>
      <c r="V97" s="9">
        <f t="shared" si="19"/>
        <v>148</v>
      </c>
      <c r="W97" s="9">
        <f t="shared" si="20"/>
        <v>131</v>
      </c>
    </row>
    <row r="98" spans="1:23" x14ac:dyDescent="0.3">
      <c r="A98" s="9" t="s">
        <v>38</v>
      </c>
      <c r="B98" s="9" t="s">
        <v>185</v>
      </c>
      <c r="C98" s="9" t="s">
        <v>54</v>
      </c>
      <c r="D98" s="12">
        <v>7.9980000000000002</v>
      </c>
      <c r="E98" s="13">
        <v>38.9</v>
      </c>
      <c r="F98" s="9">
        <v>2.2999999999999998</v>
      </c>
      <c r="G98" s="9">
        <v>190</v>
      </c>
      <c r="H98" s="9">
        <v>94.5</v>
      </c>
      <c r="I98" s="9">
        <v>67.5</v>
      </c>
      <c r="J98" s="9">
        <v>157.9</v>
      </c>
      <c r="K98" s="9">
        <v>3.0550000000000002</v>
      </c>
      <c r="L98" s="9">
        <v>15.9</v>
      </c>
      <c r="M98" s="9">
        <v>26</v>
      </c>
      <c r="N98" s="13"/>
      <c r="O98" s="14">
        <v>40559</v>
      </c>
      <c r="P98" s="9">
        <f t="shared" ref="P98:P129" si="21">YEAR(O98)</f>
        <v>2011</v>
      </c>
      <c r="Q98" s="9" t="str">
        <f t="shared" ref="Q98:Q129" si="22">TEXT(O98,"mmm")</f>
        <v>Jan</v>
      </c>
      <c r="R98" s="9">
        <v>82.807361929999999</v>
      </c>
      <c r="S98" s="15">
        <f t="shared" ref="S98:S129" si="23">IFERROR(D98*E98,"")</f>
        <v>311.12220000000002</v>
      </c>
      <c r="T98" s="9" t="str">
        <f t="shared" ref="T98:T129" si="24">IF(E98="","Unknown",_xlfn.IFS(E98&lt;15,"Budget",E98&lt;30,"Mid-range",TRUE(),"Luxury"))</f>
        <v>Luxury</v>
      </c>
      <c r="U98" s="9" t="str">
        <f t="shared" ref="U98:U129" si="25">IF(COUNTBLANK(D98:R98)&gt;0,"Incomplete","Complete")</f>
        <v>Incomplete</v>
      </c>
      <c r="V98" s="9">
        <f t="shared" ref="V98:V129" si="26">IFERROR(RANK(D98,$D$2:$D$158),"")</f>
        <v>136</v>
      </c>
      <c r="W98" s="9">
        <f t="shared" ref="W98:W129" si="27">IFERROR(RANK(S98,$S$2:$S$158),"")</f>
        <v>127</v>
      </c>
    </row>
    <row r="99" spans="1:23" x14ac:dyDescent="0.3">
      <c r="A99" s="9" t="s">
        <v>38</v>
      </c>
      <c r="B99" s="9" t="s">
        <v>186</v>
      </c>
      <c r="C99" s="9" t="s">
        <v>54</v>
      </c>
      <c r="D99" s="12">
        <v>1.526</v>
      </c>
      <c r="E99" s="13">
        <v>41</v>
      </c>
      <c r="F99" s="9">
        <v>2.2999999999999998</v>
      </c>
      <c r="G99" s="9">
        <v>185</v>
      </c>
      <c r="H99" s="9">
        <v>94.5</v>
      </c>
      <c r="I99" s="9">
        <v>67.5</v>
      </c>
      <c r="J99" s="9">
        <v>157.30000000000001</v>
      </c>
      <c r="K99" s="9">
        <v>2.9750000000000001</v>
      </c>
      <c r="L99" s="9">
        <v>14</v>
      </c>
      <c r="M99" s="9">
        <v>27</v>
      </c>
      <c r="N99" s="13"/>
      <c r="O99" s="14">
        <v>40761</v>
      </c>
      <c r="P99" s="9">
        <f t="shared" si="21"/>
        <v>2011</v>
      </c>
      <c r="Q99" s="9" t="str">
        <f t="shared" si="22"/>
        <v>Aug</v>
      </c>
      <c r="R99" s="9">
        <v>81.848969240000002</v>
      </c>
      <c r="S99" s="15">
        <f t="shared" si="23"/>
        <v>62.566000000000003</v>
      </c>
      <c r="T99" s="9" t="str">
        <f t="shared" si="24"/>
        <v>Luxury</v>
      </c>
      <c r="U99" s="9" t="str">
        <f t="shared" si="25"/>
        <v>Incomplete</v>
      </c>
      <c r="V99" s="9">
        <f t="shared" si="26"/>
        <v>151</v>
      </c>
      <c r="W99" s="9">
        <f t="shared" si="27"/>
        <v>153</v>
      </c>
    </row>
    <row r="100" spans="1:23" x14ac:dyDescent="0.3">
      <c r="A100" s="9" t="s">
        <v>38</v>
      </c>
      <c r="B100" s="9" t="s">
        <v>187</v>
      </c>
      <c r="C100" s="9" t="s">
        <v>54</v>
      </c>
      <c r="D100" s="12">
        <v>11.592000000000001</v>
      </c>
      <c r="E100" s="13">
        <v>41.6</v>
      </c>
      <c r="F100" s="9">
        <v>3.2</v>
      </c>
      <c r="G100" s="9">
        <v>215</v>
      </c>
      <c r="H100" s="9">
        <v>105.9</v>
      </c>
      <c r="I100" s="9">
        <v>67.8</v>
      </c>
      <c r="J100" s="9">
        <v>180.3</v>
      </c>
      <c r="K100" s="9">
        <v>3.2130000000000001</v>
      </c>
      <c r="L100" s="9">
        <v>16.399999999999999</v>
      </c>
      <c r="M100" s="9">
        <v>26</v>
      </c>
      <c r="N100" s="13"/>
      <c r="O100" s="14">
        <v>40732</v>
      </c>
      <c r="P100" s="9">
        <f t="shared" si="21"/>
        <v>2011</v>
      </c>
      <c r="Q100" s="9" t="str">
        <f t="shared" si="22"/>
        <v>Jul</v>
      </c>
      <c r="R100" s="9">
        <v>92.925791770000004</v>
      </c>
      <c r="S100" s="15">
        <f t="shared" si="23"/>
        <v>482.22720000000004</v>
      </c>
      <c r="T100" s="9" t="str">
        <f t="shared" si="24"/>
        <v>Luxury</v>
      </c>
      <c r="U100" s="9" t="str">
        <f t="shared" si="25"/>
        <v>Incomplete</v>
      </c>
      <c r="V100" s="9">
        <f t="shared" si="26"/>
        <v>124</v>
      </c>
      <c r="W100" s="9">
        <f t="shared" si="27"/>
        <v>103</v>
      </c>
    </row>
    <row r="101" spans="1:23" x14ac:dyDescent="0.3">
      <c r="A101" s="9" t="s">
        <v>38</v>
      </c>
      <c r="B101" s="9" t="s">
        <v>188</v>
      </c>
      <c r="C101" s="9" t="s">
        <v>54</v>
      </c>
      <c r="D101" s="12">
        <v>0.95399999999999996</v>
      </c>
      <c r="E101" s="13">
        <v>85.5</v>
      </c>
      <c r="F101" s="9">
        <v>5</v>
      </c>
      <c r="G101" s="9">
        <v>302</v>
      </c>
      <c r="H101" s="9">
        <v>113.6</v>
      </c>
      <c r="I101" s="9">
        <v>73.099999999999994</v>
      </c>
      <c r="J101" s="9">
        <v>196.6</v>
      </c>
      <c r="K101" s="9">
        <v>4.1150000000000002</v>
      </c>
      <c r="L101" s="9">
        <v>23.2</v>
      </c>
      <c r="M101" s="9">
        <v>20</v>
      </c>
      <c r="N101" s="13"/>
      <c r="O101" s="14">
        <v>40644</v>
      </c>
      <c r="P101" s="9">
        <f t="shared" si="21"/>
        <v>2011</v>
      </c>
      <c r="Q101" s="9" t="str">
        <f t="shared" si="22"/>
        <v>Apr</v>
      </c>
      <c r="R101" s="9">
        <v>141.10098450000001</v>
      </c>
      <c r="S101" s="15">
        <f t="shared" si="23"/>
        <v>81.566999999999993</v>
      </c>
      <c r="T101" s="9" t="str">
        <f t="shared" si="24"/>
        <v>Luxury</v>
      </c>
      <c r="U101" s="9" t="str">
        <f t="shared" si="25"/>
        <v>Incomplete</v>
      </c>
      <c r="V101" s="9">
        <f t="shared" si="26"/>
        <v>155</v>
      </c>
      <c r="W101" s="9">
        <f t="shared" si="27"/>
        <v>149</v>
      </c>
    </row>
    <row r="102" spans="1:23" x14ac:dyDescent="0.3">
      <c r="A102" s="9" t="s">
        <v>38</v>
      </c>
      <c r="B102" s="9" t="s">
        <v>189</v>
      </c>
      <c r="C102" s="9" t="s">
        <v>55</v>
      </c>
      <c r="D102" s="12">
        <v>28.975999999999999</v>
      </c>
      <c r="E102" s="13">
        <v>35.299999999999997</v>
      </c>
      <c r="F102" s="9">
        <v>3.2</v>
      </c>
      <c r="G102" s="9">
        <v>215</v>
      </c>
      <c r="H102" s="9">
        <v>111</v>
      </c>
      <c r="I102" s="9">
        <v>72.2</v>
      </c>
      <c r="J102" s="9">
        <v>180.6</v>
      </c>
      <c r="K102" s="9">
        <v>4.3869999999999996</v>
      </c>
      <c r="L102" s="9">
        <v>19</v>
      </c>
      <c r="M102" s="9">
        <v>20</v>
      </c>
      <c r="N102" s="13"/>
      <c r="O102" s="14">
        <v>40584</v>
      </c>
      <c r="P102" s="9">
        <f t="shared" si="21"/>
        <v>2011</v>
      </c>
      <c r="Q102" s="9" t="str">
        <f t="shared" si="22"/>
        <v>Feb</v>
      </c>
      <c r="R102" s="9">
        <v>90.495532130000001</v>
      </c>
      <c r="S102" s="15">
        <f t="shared" si="23"/>
        <v>1022.8527999999999</v>
      </c>
      <c r="T102" s="9" t="str">
        <f t="shared" si="24"/>
        <v>Luxury</v>
      </c>
      <c r="U102" s="9" t="str">
        <f t="shared" si="25"/>
        <v>Incomplete</v>
      </c>
      <c r="V102" s="9">
        <f t="shared" si="26"/>
        <v>80</v>
      </c>
      <c r="W102" s="9">
        <f t="shared" si="27"/>
        <v>52</v>
      </c>
    </row>
    <row r="103" spans="1:23" x14ac:dyDescent="0.3">
      <c r="A103" s="9" t="s">
        <v>41</v>
      </c>
      <c r="B103" s="9" t="s">
        <v>190</v>
      </c>
      <c r="C103" s="9" t="s">
        <v>54</v>
      </c>
      <c r="D103" s="12">
        <v>42.643000000000001</v>
      </c>
      <c r="E103" s="13">
        <v>13.499000000000001</v>
      </c>
      <c r="F103" s="9">
        <v>1.8</v>
      </c>
      <c r="G103" s="9">
        <v>126</v>
      </c>
      <c r="H103" s="9">
        <v>99.8</v>
      </c>
      <c r="I103" s="9">
        <v>67.3</v>
      </c>
      <c r="J103" s="9">
        <v>177.5</v>
      </c>
      <c r="K103" s="9">
        <v>2.593</v>
      </c>
      <c r="L103" s="9">
        <v>13.2</v>
      </c>
      <c r="M103" s="9">
        <v>30</v>
      </c>
      <c r="N103" s="13">
        <v>8.4499999999999993</v>
      </c>
      <c r="O103" s="14">
        <v>40786</v>
      </c>
      <c r="P103" s="9">
        <f t="shared" si="21"/>
        <v>2011</v>
      </c>
      <c r="Q103" s="9" t="str">
        <f t="shared" si="22"/>
        <v>Aug</v>
      </c>
      <c r="R103" s="9">
        <v>50.241977910000003</v>
      </c>
      <c r="S103" s="15">
        <f t="shared" si="23"/>
        <v>575.63785700000005</v>
      </c>
      <c r="T103" s="9" t="str">
        <f t="shared" si="24"/>
        <v>Budget</v>
      </c>
      <c r="U103" s="9" t="str">
        <f t="shared" si="25"/>
        <v>Complete</v>
      </c>
      <c r="V103" s="9">
        <f t="shared" si="26"/>
        <v>58</v>
      </c>
      <c r="W103" s="9">
        <f t="shared" si="27"/>
        <v>92</v>
      </c>
    </row>
    <row r="104" spans="1:23" x14ac:dyDescent="0.3">
      <c r="A104" s="9" t="s">
        <v>41</v>
      </c>
      <c r="B104" s="9" t="s">
        <v>191</v>
      </c>
      <c r="C104" s="9" t="s">
        <v>54</v>
      </c>
      <c r="D104" s="12">
        <v>88.093999999999994</v>
      </c>
      <c r="E104" s="13">
        <v>20.39</v>
      </c>
      <c r="F104" s="9">
        <v>2.4</v>
      </c>
      <c r="G104" s="9">
        <v>155</v>
      </c>
      <c r="H104" s="9">
        <v>103.1</v>
      </c>
      <c r="I104" s="9">
        <v>69.099999999999994</v>
      </c>
      <c r="J104" s="9">
        <v>183.5</v>
      </c>
      <c r="K104" s="9">
        <v>3.012</v>
      </c>
      <c r="L104" s="9">
        <v>15.9</v>
      </c>
      <c r="M104" s="9">
        <v>25</v>
      </c>
      <c r="N104" s="13">
        <v>11.295</v>
      </c>
      <c r="O104" s="14">
        <v>40757</v>
      </c>
      <c r="P104" s="9">
        <f t="shared" si="21"/>
        <v>2011</v>
      </c>
      <c r="Q104" s="9" t="str">
        <f t="shared" si="22"/>
        <v>Aug</v>
      </c>
      <c r="R104" s="9">
        <v>63.313727829999998</v>
      </c>
      <c r="S104" s="15">
        <f t="shared" si="23"/>
        <v>1796.23666</v>
      </c>
      <c r="T104" s="9" t="str">
        <f t="shared" si="24"/>
        <v>Mid-range</v>
      </c>
      <c r="U104" s="9" t="str">
        <f t="shared" si="25"/>
        <v>Complete</v>
      </c>
      <c r="V104" s="9">
        <f t="shared" si="26"/>
        <v>24</v>
      </c>
      <c r="W104" s="9">
        <f t="shared" si="27"/>
        <v>31</v>
      </c>
    </row>
    <row r="105" spans="1:23" x14ac:dyDescent="0.3">
      <c r="A105" s="9" t="s">
        <v>41</v>
      </c>
      <c r="B105" s="9" t="s">
        <v>192</v>
      </c>
      <c r="C105" s="9" t="s">
        <v>54</v>
      </c>
      <c r="D105" s="12">
        <v>79.852999999999994</v>
      </c>
      <c r="E105" s="13">
        <v>26.248999999999999</v>
      </c>
      <c r="F105" s="9">
        <v>3</v>
      </c>
      <c r="G105" s="9">
        <v>222</v>
      </c>
      <c r="H105" s="9">
        <v>108.3</v>
      </c>
      <c r="I105" s="9">
        <v>70.3</v>
      </c>
      <c r="J105" s="9">
        <v>190.5</v>
      </c>
      <c r="K105" s="9">
        <v>3.294</v>
      </c>
      <c r="L105" s="9">
        <v>18.5</v>
      </c>
      <c r="M105" s="9">
        <v>25</v>
      </c>
      <c r="N105" s="13">
        <v>15.125</v>
      </c>
      <c r="O105" s="14">
        <v>40669</v>
      </c>
      <c r="P105" s="9">
        <f t="shared" si="21"/>
        <v>2011</v>
      </c>
      <c r="Q105" s="9" t="str">
        <f t="shared" si="22"/>
        <v>May</v>
      </c>
      <c r="R105" s="9">
        <v>89.427820310000001</v>
      </c>
      <c r="S105" s="15">
        <f t="shared" si="23"/>
        <v>2096.0613969999999</v>
      </c>
      <c r="T105" s="9" t="str">
        <f t="shared" si="24"/>
        <v>Mid-range</v>
      </c>
      <c r="U105" s="9" t="str">
        <f t="shared" si="25"/>
        <v>Complete</v>
      </c>
      <c r="V105" s="9">
        <f t="shared" si="26"/>
        <v>33</v>
      </c>
      <c r="W105" s="9">
        <f t="shared" si="27"/>
        <v>21</v>
      </c>
    </row>
    <row r="106" spans="1:23" x14ac:dyDescent="0.3">
      <c r="A106" s="9" t="s">
        <v>41</v>
      </c>
      <c r="B106" s="9" t="s">
        <v>193</v>
      </c>
      <c r="C106" s="9" t="s">
        <v>55</v>
      </c>
      <c r="D106" s="12">
        <v>27.308</v>
      </c>
      <c r="E106" s="13">
        <v>26.399000000000001</v>
      </c>
      <c r="F106" s="9">
        <v>3.3</v>
      </c>
      <c r="G106" s="9">
        <v>170</v>
      </c>
      <c r="H106" s="9">
        <v>112.2</v>
      </c>
      <c r="I106" s="9">
        <v>74.900000000000006</v>
      </c>
      <c r="J106" s="9">
        <v>194.8</v>
      </c>
      <c r="K106" s="9">
        <v>3.9910000000000001</v>
      </c>
      <c r="L106" s="9">
        <v>20</v>
      </c>
      <c r="M106" s="9">
        <v>21</v>
      </c>
      <c r="N106" s="13">
        <v>15.38</v>
      </c>
      <c r="O106" s="14">
        <v>40609</v>
      </c>
      <c r="P106" s="9">
        <f t="shared" si="21"/>
        <v>2011</v>
      </c>
      <c r="Q106" s="9" t="str">
        <f t="shared" si="22"/>
        <v>Mar</v>
      </c>
      <c r="R106" s="9">
        <v>71.171664129999996</v>
      </c>
      <c r="S106" s="15">
        <f t="shared" si="23"/>
        <v>720.90389200000004</v>
      </c>
      <c r="T106" s="9" t="str">
        <f t="shared" si="24"/>
        <v>Mid-range</v>
      </c>
      <c r="U106" s="9" t="str">
        <f t="shared" si="25"/>
        <v>Complete</v>
      </c>
      <c r="V106" s="9">
        <f t="shared" si="26"/>
        <v>84</v>
      </c>
      <c r="W106" s="9">
        <f t="shared" si="27"/>
        <v>76</v>
      </c>
    </row>
    <row r="107" spans="1:23" x14ac:dyDescent="0.3">
      <c r="A107" s="9" t="s">
        <v>41</v>
      </c>
      <c r="B107" s="9" t="s">
        <v>194</v>
      </c>
      <c r="C107" s="9" t="s">
        <v>55</v>
      </c>
      <c r="D107" s="12">
        <v>42.573999999999998</v>
      </c>
      <c r="E107" s="13">
        <v>29.298999999999999</v>
      </c>
      <c r="F107" s="9">
        <v>3.3</v>
      </c>
      <c r="G107" s="9">
        <v>170</v>
      </c>
      <c r="H107" s="9">
        <v>106.3</v>
      </c>
      <c r="I107" s="9">
        <v>71.7</v>
      </c>
      <c r="J107" s="9">
        <v>182.6</v>
      </c>
      <c r="K107" s="9">
        <v>3.9470000000000001</v>
      </c>
      <c r="L107" s="9">
        <v>21</v>
      </c>
      <c r="M107" s="9">
        <v>19</v>
      </c>
      <c r="N107" s="13">
        <v>17.809999999999999</v>
      </c>
      <c r="O107" s="14">
        <v>40811</v>
      </c>
      <c r="P107" s="9">
        <f t="shared" si="21"/>
        <v>2011</v>
      </c>
      <c r="Q107" s="9" t="str">
        <f t="shared" si="22"/>
        <v>Sep</v>
      </c>
      <c r="R107" s="9">
        <v>72.290355079999998</v>
      </c>
      <c r="S107" s="15">
        <f t="shared" si="23"/>
        <v>1247.375626</v>
      </c>
      <c r="T107" s="9" t="str">
        <f t="shared" si="24"/>
        <v>Mid-range</v>
      </c>
      <c r="U107" s="9" t="str">
        <f t="shared" si="25"/>
        <v>Complete</v>
      </c>
      <c r="V107" s="9">
        <f t="shared" si="26"/>
        <v>60</v>
      </c>
      <c r="W107" s="9">
        <f t="shared" si="27"/>
        <v>44</v>
      </c>
    </row>
    <row r="108" spans="1:23" x14ac:dyDescent="0.3">
      <c r="A108" s="9" t="s">
        <v>41</v>
      </c>
      <c r="B108" s="9" t="s">
        <v>195</v>
      </c>
      <c r="C108" s="9" t="s">
        <v>55</v>
      </c>
      <c r="D108" s="12">
        <v>54.158000000000001</v>
      </c>
      <c r="E108" s="13">
        <v>22.798999999999999</v>
      </c>
      <c r="F108" s="9">
        <v>3.3</v>
      </c>
      <c r="G108" s="9">
        <v>170</v>
      </c>
      <c r="H108" s="9">
        <v>104.3</v>
      </c>
      <c r="I108" s="9">
        <v>70.400000000000006</v>
      </c>
      <c r="J108" s="9">
        <v>178</v>
      </c>
      <c r="K108" s="9">
        <v>3.8210000000000002</v>
      </c>
      <c r="L108" s="9">
        <v>19.399999999999999</v>
      </c>
      <c r="M108" s="9">
        <v>18</v>
      </c>
      <c r="N108" s="13"/>
      <c r="O108" s="14">
        <v>40567</v>
      </c>
      <c r="P108" s="9">
        <f t="shared" si="21"/>
        <v>2011</v>
      </c>
      <c r="Q108" s="9" t="str">
        <f t="shared" si="22"/>
        <v>Jan</v>
      </c>
      <c r="R108" s="9">
        <v>69.78294434</v>
      </c>
      <c r="S108" s="15">
        <f t="shared" si="23"/>
        <v>1234.7482419999999</v>
      </c>
      <c r="T108" s="9" t="str">
        <f t="shared" si="24"/>
        <v>Mid-range</v>
      </c>
      <c r="U108" s="9" t="str">
        <f t="shared" si="25"/>
        <v>Incomplete</v>
      </c>
      <c r="V108" s="9">
        <f t="shared" si="26"/>
        <v>49</v>
      </c>
      <c r="W108" s="9">
        <f t="shared" si="27"/>
        <v>45</v>
      </c>
    </row>
    <row r="109" spans="1:23" x14ac:dyDescent="0.3">
      <c r="A109" s="9" t="s">
        <v>41</v>
      </c>
      <c r="B109" s="9" t="s">
        <v>196</v>
      </c>
      <c r="C109" s="9" t="s">
        <v>55</v>
      </c>
      <c r="D109" s="12">
        <v>65.004999999999995</v>
      </c>
      <c r="E109" s="13">
        <v>17.89</v>
      </c>
      <c r="F109" s="9">
        <v>3.3</v>
      </c>
      <c r="G109" s="9">
        <v>170</v>
      </c>
      <c r="H109" s="9">
        <v>116.1</v>
      </c>
      <c r="I109" s="9">
        <v>66.5</v>
      </c>
      <c r="J109" s="9">
        <v>196.1</v>
      </c>
      <c r="K109" s="9">
        <v>3.2170000000000001</v>
      </c>
      <c r="L109" s="9">
        <v>19.399999999999999</v>
      </c>
      <c r="M109" s="9">
        <v>18</v>
      </c>
      <c r="N109" s="13"/>
      <c r="O109" s="14">
        <v>40782</v>
      </c>
      <c r="P109" s="9">
        <f t="shared" si="21"/>
        <v>2011</v>
      </c>
      <c r="Q109" s="9" t="str">
        <f t="shared" si="22"/>
        <v>Aug</v>
      </c>
      <c r="R109" s="9">
        <v>67.889270589999995</v>
      </c>
      <c r="S109" s="15">
        <f t="shared" si="23"/>
        <v>1162.9394499999999</v>
      </c>
      <c r="T109" s="9" t="str">
        <f t="shared" si="24"/>
        <v>Mid-range</v>
      </c>
      <c r="U109" s="9" t="str">
        <f t="shared" si="25"/>
        <v>Incomplete</v>
      </c>
      <c r="V109" s="9">
        <f t="shared" si="26"/>
        <v>43</v>
      </c>
      <c r="W109" s="9">
        <f t="shared" si="27"/>
        <v>47</v>
      </c>
    </row>
    <row r="110" spans="1:23" x14ac:dyDescent="0.3">
      <c r="A110" s="9" t="s">
        <v>42</v>
      </c>
      <c r="B110" s="9" t="s">
        <v>197</v>
      </c>
      <c r="C110" s="9" t="s">
        <v>54</v>
      </c>
      <c r="D110" s="12">
        <v>1.1120000000000001</v>
      </c>
      <c r="E110" s="13">
        <v>18.145</v>
      </c>
      <c r="F110" s="9">
        <v>3.1</v>
      </c>
      <c r="G110" s="9">
        <v>150</v>
      </c>
      <c r="H110" s="9">
        <v>107</v>
      </c>
      <c r="I110" s="9">
        <v>69.400000000000006</v>
      </c>
      <c r="J110" s="9">
        <v>192</v>
      </c>
      <c r="K110" s="9">
        <v>3.1019999999999999</v>
      </c>
      <c r="L110" s="9">
        <v>15.2</v>
      </c>
      <c r="M110" s="9">
        <v>25</v>
      </c>
      <c r="N110" s="13">
        <v>11.24</v>
      </c>
      <c r="O110" s="14">
        <v>40694</v>
      </c>
      <c r="P110" s="9">
        <f t="shared" si="21"/>
        <v>2011</v>
      </c>
      <c r="Q110" s="9" t="str">
        <f t="shared" si="22"/>
        <v>May</v>
      </c>
      <c r="R110" s="9">
        <v>60.861611549999999</v>
      </c>
      <c r="S110" s="15">
        <f t="shared" si="23"/>
        <v>20.177240000000001</v>
      </c>
      <c r="T110" s="9" t="str">
        <f t="shared" si="24"/>
        <v>Mid-range</v>
      </c>
      <c r="U110" s="9" t="str">
        <f t="shared" si="25"/>
        <v>Complete</v>
      </c>
      <c r="V110" s="9">
        <f t="shared" si="26"/>
        <v>154</v>
      </c>
      <c r="W110" s="9">
        <f t="shared" si="27"/>
        <v>154</v>
      </c>
    </row>
    <row r="111" spans="1:23" x14ac:dyDescent="0.3">
      <c r="A111" s="9" t="s">
        <v>42</v>
      </c>
      <c r="B111" s="9" t="s">
        <v>198</v>
      </c>
      <c r="C111" s="9" t="s">
        <v>54</v>
      </c>
      <c r="D111" s="12">
        <v>38.554000000000002</v>
      </c>
      <c r="E111" s="13">
        <v>24.15</v>
      </c>
      <c r="F111" s="9">
        <v>3.5</v>
      </c>
      <c r="G111" s="9">
        <v>215</v>
      </c>
      <c r="H111" s="9">
        <v>109</v>
      </c>
      <c r="I111" s="9">
        <v>73.599999999999994</v>
      </c>
      <c r="J111" s="9">
        <v>195.9</v>
      </c>
      <c r="K111" s="9">
        <v>3.4550000000000001</v>
      </c>
      <c r="L111" s="9">
        <v>18</v>
      </c>
      <c r="M111" s="9"/>
      <c r="N111" s="13"/>
      <c r="O111" s="14">
        <v>40634</v>
      </c>
      <c r="P111" s="9">
        <f t="shared" si="21"/>
        <v>2011</v>
      </c>
      <c r="Q111" s="9" t="str">
        <f t="shared" si="22"/>
        <v>Apr</v>
      </c>
      <c r="R111" s="9">
        <v>86.272522910000006</v>
      </c>
      <c r="S111" s="15">
        <f t="shared" si="23"/>
        <v>931.07910000000004</v>
      </c>
      <c r="T111" s="9" t="str">
        <f t="shared" si="24"/>
        <v>Mid-range</v>
      </c>
      <c r="U111" s="9" t="str">
        <f t="shared" si="25"/>
        <v>Incomplete</v>
      </c>
      <c r="V111" s="9">
        <f t="shared" si="26"/>
        <v>67</v>
      </c>
      <c r="W111" s="9">
        <f t="shared" si="27"/>
        <v>59</v>
      </c>
    </row>
    <row r="112" spans="1:23" x14ac:dyDescent="0.3">
      <c r="A112" s="9" t="s">
        <v>42</v>
      </c>
      <c r="B112" s="9" t="s">
        <v>199</v>
      </c>
      <c r="C112" s="9" t="s">
        <v>54</v>
      </c>
      <c r="D112" s="12">
        <v>80.254999999999995</v>
      </c>
      <c r="E112" s="13">
        <v>18.27</v>
      </c>
      <c r="F112" s="9">
        <v>2.4</v>
      </c>
      <c r="G112" s="9">
        <v>150</v>
      </c>
      <c r="H112" s="9">
        <v>107</v>
      </c>
      <c r="I112" s="9">
        <v>70.099999999999994</v>
      </c>
      <c r="J112" s="9">
        <v>186.7</v>
      </c>
      <c r="K112" s="9">
        <v>2.9580000000000002</v>
      </c>
      <c r="L112" s="9">
        <v>15</v>
      </c>
      <c r="M112" s="9">
        <v>27</v>
      </c>
      <c r="N112" s="13"/>
      <c r="O112" s="14">
        <v>40106</v>
      </c>
      <c r="P112" s="9">
        <f t="shared" si="21"/>
        <v>2009</v>
      </c>
      <c r="Q112" s="9" t="str">
        <f t="shared" si="22"/>
        <v>Oct</v>
      </c>
      <c r="R112" s="9">
        <v>60.727446929999999</v>
      </c>
      <c r="S112" s="15">
        <f t="shared" si="23"/>
        <v>1466.2588499999999</v>
      </c>
      <c r="T112" s="9" t="str">
        <f t="shared" si="24"/>
        <v>Mid-range</v>
      </c>
      <c r="U112" s="9" t="str">
        <f t="shared" si="25"/>
        <v>Incomplete</v>
      </c>
      <c r="V112" s="9">
        <f t="shared" si="26"/>
        <v>32</v>
      </c>
      <c r="W112" s="9">
        <f t="shared" si="27"/>
        <v>37</v>
      </c>
    </row>
    <row r="113" spans="1:23" x14ac:dyDescent="0.3">
      <c r="A113" s="9" t="s">
        <v>42</v>
      </c>
      <c r="B113" s="9" t="s">
        <v>200</v>
      </c>
      <c r="C113" s="9" t="s">
        <v>54</v>
      </c>
      <c r="D113" s="12">
        <v>14.69</v>
      </c>
      <c r="E113" s="13">
        <v>36.228999999999999</v>
      </c>
      <c r="F113" s="9">
        <v>4</v>
      </c>
      <c r="G113" s="9">
        <v>250</v>
      </c>
      <c r="H113" s="9">
        <v>113.8</v>
      </c>
      <c r="I113" s="9">
        <v>74.400000000000006</v>
      </c>
      <c r="J113" s="9">
        <v>205.4</v>
      </c>
      <c r="K113" s="9">
        <v>3.9670000000000001</v>
      </c>
      <c r="L113" s="9">
        <v>18.5</v>
      </c>
      <c r="M113" s="9">
        <v>22</v>
      </c>
      <c r="N113" s="13">
        <v>19.89</v>
      </c>
      <c r="O113" s="14">
        <v>40592</v>
      </c>
      <c r="P113" s="9">
        <f t="shared" si="21"/>
        <v>2011</v>
      </c>
      <c r="Q113" s="9" t="str">
        <f t="shared" si="22"/>
        <v>Feb</v>
      </c>
      <c r="R113" s="9">
        <v>103.4416926</v>
      </c>
      <c r="S113" s="15">
        <f t="shared" si="23"/>
        <v>532.20400999999993</v>
      </c>
      <c r="T113" s="9" t="str">
        <f t="shared" si="24"/>
        <v>Luxury</v>
      </c>
      <c r="U113" s="9" t="str">
        <f t="shared" si="25"/>
        <v>Complete</v>
      </c>
      <c r="V113" s="9">
        <f t="shared" si="26"/>
        <v>116</v>
      </c>
      <c r="W113" s="9">
        <f t="shared" si="27"/>
        <v>98</v>
      </c>
    </row>
    <row r="114" spans="1:23" x14ac:dyDescent="0.3">
      <c r="A114" s="9" t="s">
        <v>42</v>
      </c>
      <c r="B114" s="9" t="s">
        <v>201</v>
      </c>
      <c r="C114" s="9" t="s">
        <v>55</v>
      </c>
      <c r="D114" s="12">
        <v>20.016999999999999</v>
      </c>
      <c r="E114" s="13">
        <v>31.597999999999999</v>
      </c>
      <c r="F114" s="9">
        <v>4.3</v>
      </c>
      <c r="G114" s="9">
        <v>190</v>
      </c>
      <c r="H114" s="9">
        <v>107</v>
      </c>
      <c r="I114" s="9">
        <v>67.8</v>
      </c>
      <c r="J114" s="9">
        <v>181.2</v>
      </c>
      <c r="K114" s="9">
        <v>4.0679999999999996</v>
      </c>
      <c r="L114" s="9">
        <v>17.5</v>
      </c>
      <c r="M114" s="9">
        <v>19</v>
      </c>
      <c r="N114" s="13">
        <v>19.925000000000001</v>
      </c>
      <c r="O114" s="14">
        <v>40807</v>
      </c>
      <c r="P114" s="9">
        <f t="shared" si="21"/>
        <v>2011</v>
      </c>
      <c r="Q114" s="9" t="str">
        <f t="shared" si="22"/>
        <v>Sep</v>
      </c>
      <c r="R114" s="9">
        <v>80.511672590000003</v>
      </c>
      <c r="S114" s="15">
        <f t="shared" si="23"/>
        <v>632.49716599999999</v>
      </c>
      <c r="T114" s="9" t="str">
        <f t="shared" si="24"/>
        <v>Luxury</v>
      </c>
      <c r="U114" s="9" t="str">
        <f t="shared" si="25"/>
        <v>Complete</v>
      </c>
      <c r="V114" s="9">
        <f t="shared" si="26"/>
        <v>99</v>
      </c>
      <c r="W114" s="9">
        <f t="shared" si="27"/>
        <v>87</v>
      </c>
    </row>
    <row r="115" spans="1:23" x14ac:dyDescent="0.3">
      <c r="A115" s="9" t="s">
        <v>42</v>
      </c>
      <c r="B115" s="9" t="s">
        <v>202</v>
      </c>
      <c r="C115" s="9" t="s">
        <v>55</v>
      </c>
      <c r="D115" s="12">
        <v>24.361000000000001</v>
      </c>
      <c r="E115" s="13">
        <v>25.344999999999999</v>
      </c>
      <c r="F115" s="9">
        <v>3.4</v>
      </c>
      <c r="G115" s="9">
        <v>185</v>
      </c>
      <c r="H115" s="9">
        <v>120</v>
      </c>
      <c r="I115" s="9">
        <v>72.2</v>
      </c>
      <c r="J115" s="9">
        <v>201.4</v>
      </c>
      <c r="K115" s="9">
        <v>3.948</v>
      </c>
      <c r="L115" s="9">
        <v>25</v>
      </c>
      <c r="M115" s="9">
        <v>22</v>
      </c>
      <c r="N115" s="13">
        <v>15.24</v>
      </c>
      <c r="O115" s="14">
        <v>40719</v>
      </c>
      <c r="P115" s="9">
        <f t="shared" si="21"/>
        <v>2011</v>
      </c>
      <c r="Q115" s="9" t="str">
        <f t="shared" si="22"/>
        <v>Jun</v>
      </c>
      <c r="R115" s="9">
        <v>76.096570420000006</v>
      </c>
      <c r="S115" s="15">
        <f t="shared" si="23"/>
        <v>617.42954499999996</v>
      </c>
      <c r="T115" s="9" t="str">
        <f t="shared" si="24"/>
        <v>Mid-range</v>
      </c>
      <c r="U115" s="9" t="str">
        <f t="shared" si="25"/>
        <v>Complete</v>
      </c>
      <c r="V115" s="9">
        <f t="shared" si="26"/>
        <v>91</v>
      </c>
      <c r="W115" s="9">
        <f t="shared" si="27"/>
        <v>88</v>
      </c>
    </row>
    <row r="116" spans="1:23" x14ac:dyDescent="0.3">
      <c r="A116" s="9" t="s">
        <v>43</v>
      </c>
      <c r="B116" s="9" t="s">
        <v>124</v>
      </c>
      <c r="C116" s="9" t="s">
        <v>54</v>
      </c>
      <c r="D116" s="12">
        <v>32.734000000000002</v>
      </c>
      <c r="E116" s="13">
        <v>12.64</v>
      </c>
      <c r="F116" s="9">
        <v>2</v>
      </c>
      <c r="G116" s="9">
        <v>132</v>
      </c>
      <c r="H116" s="9">
        <v>105</v>
      </c>
      <c r="I116" s="9">
        <v>74.400000000000006</v>
      </c>
      <c r="J116" s="9">
        <v>174.4</v>
      </c>
      <c r="K116" s="9">
        <v>2.5590000000000002</v>
      </c>
      <c r="L116" s="9">
        <v>12.5</v>
      </c>
      <c r="M116" s="9">
        <v>29</v>
      </c>
      <c r="N116" s="13">
        <v>7.75</v>
      </c>
      <c r="O116" s="14">
        <v>40659</v>
      </c>
      <c r="P116" s="9">
        <f t="shared" si="21"/>
        <v>2011</v>
      </c>
      <c r="Q116" s="9" t="str">
        <f t="shared" si="22"/>
        <v>Apr</v>
      </c>
      <c r="R116" s="9">
        <v>52.084898750000001</v>
      </c>
      <c r="S116" s="15">
        <f t="shared" si="23"/>
        <v>413.75776000000002</v>
      </c>
      <c r="T116" s="9" t="str">
        <f t="shared" si="24"/>
        <v>Budget</v>
      </c>
      <c r="U116" s="9" t="str">
        <f t="shared" si="25"/>
        <v>Complete</v>
      </c>
      <c r="V116" s="9">
        <f t="shared" si="26"/>
        <v>73</v>
      </c>
      <c r="W116" s="9">
        <f t="shared" si="27"/>
        <v>113</v>
      </c>
    </row>
    <row r="117" spans="1:23" x14ac:dyDescent="0.3">
      <c r="A117" s="9" t="s">
        <v>43</v>
      </c>
      <c r="B117" s="9" t="s">
        <v>203</v>
      </c>
      <c r="C117" s="9" t="s">
        <v>54</v>
      </c>
      <c r="D117" s="12">
        <v>5.24</v>
      </c>
      <c r="E117" s="13">
        <v>16.079999999999998</v>
      </c>
      <c r="F117" s="9">
        <v>2</v>
      </c>
      <c r="G117" s="9">
        <v>132</v>
      </c>
      <c r="H117" s="9">
        <v>108</v>
      </c>
      <c r="I117" s="9">
        <v>71</v>
      </c>
      <c r="J117" s="9">
        <v>186.3</v>
      </c>
      <c r="K117" s="9">
        <v>2.9420000000000002</v>
      </c>
      <c r="L117" s="9">
        <v>16</v>
      </c>
      <c r="M117" s="9">
        <v>27</v>
      </c>
      <c r="N117" s="13">
        <v>9.8000000000000007</v>
      </c>
      <c r="O117" s="14">
        <v>40861</v>
      </c>
      <c r="P117" s="9">
        <f t="shared" si="21"/>
        <v>2011</v>
      </c>
      <c r="Q117" s="9" t="str">
        <f t="shared" si="22"/>
        <v>Nov</v>
      </c>
      <c r="R117" s="9">
        <v>53.411897670000002</v>
      </c>
      <c r="S117" s="15">
        <f t="shared" si="23"/>
        <v>84.259199999999993</v>
      </c>
      <c r="T117" s="9" t="str">
        <f t="shared" si="24"/>
        <v>Mid-range</v>
      </c>
      <c r="U117" s="9" t="str">
        <f t="shared" si="25"/>
        <v>Complete</v>
      </c>
      <c r="V117" s="9">
        <f t="shared" si="26"/>
        <v>142</v>
      </c>
      <c r="W117" s="9">
        <f t="shared" si="27"/>
        <v>148</v>
      </c>
    </row>
    <row r="118" spans="1:23" x14ac:dyDescent="0.3">
      <c r="A118" s="9" t="s">
        <v>43</v>
      </c>
      <c r="B118" s="9" t="s">
        <v>204</v>
      </c>
      <c r="C118" s="9" t="s">
        <v>55</v>
      </c>
      <c r="D118" s="12">
        <v>24.155000000000001</v>
      </c>
      <c r="E118" s="13">
        <v>18.850000000000001</v>
      </c>
      <c r="F118" s="9">
        <v>2.4</v>
      </c>
      <c r="G118" s="9">
        <v>150</v>
      </c>
      <c r="H118" s="9">
        <v>113.3</v>
      </c>
      <c r="I118" s="9">
        <v>76.8</v>
      </c>
      <c r="J118" s="9">
        <v>186.3</v>
      </c>
      <c r="K118" s="9">
        <v>3.528</v>
      </c>
      <c r="L118" s="9">
        <v>20</v>
      </c>
      <c r="M118" s="9">
        <v>24</v>
      </c>
      <c r="N118" s="13">
        <v>12.025</v>
      </c>
      <c r="O118" s="14">
        <v>40657</v>
      </c>
      <c r="P118" s="9">
        <f t="shared" si="21"/>
        <v>2011</v>
      </c>
      <c r="Q118" s="9" t="str">
        <f t="shared" si="22"/>
        <v>Apr</v>
      </c>
      <c r="R118" s="9">
        <v>60.951185119999998</v>
      </c>
      <c r="S118" s="15">
        <f t="shared" si="23"/>
        <v>455.32175000000007</v>
      </c>
      <c r="T118" s="9" t="str">
        <f t="shared" si="24"/>
        <v>Mid-range</v>
      </c>
      <c r="U118" s="9" t="str">
        <f t="shared" si="25"/>
        <v>Complete</v>
      </c>
      <c r="V118" s="9">
        <f t="shared" si="26"/>
        <v>92</v>
      </c>
      <c r="W118" s="9">
        <f t="shared" si="27"/>
        <v>107</v>
      </c>
    </row>
    <row r="119" spans="1:23" x14ac:dyDescent="0.3">
      <c r="A119" s="9" t="s">
        <v>43</v>
      </c>
      <c r="B119" s="9" t="s">
        <v>205</v>
      </c>
      <c r="C119" s="9" t="s">
        <v>54</v>
      </c>
      <c r="D119" s="12">
        <v>1.8720000000000001</v>
      </c>
      <c r="E119" s="13">
        <v>43</v>
      </c>
      <c r="F119" s="9">
        <v>3.5</v>
      </c>
      <c r="G119" s="9">
        <v>253</v>
      </c>
      <c r="H119" s="9">
        <v>113.3</v>
      </c>
      <c r="I119" s="9">
        <v>76.3</v>
      </c>
      <c r="J119" s="9">
        <v>165.4</v>
      </c>
      <c r="K119" s="9">
        <v>2.85</v>
      </c>
      <c r="L119" s="9">
        <v>12</v>
      </c>
      <c r="M119" s="9">
        <v>21</v>
      </c>
      <c r="N119" s="13"/>
      <c r="O119" s="14">
        <v>41087</v>
      </c>
      <c r="P119" s="9">
        <f t="shared" si="21"/>
        <v>2012</v>
      </c>
      <c r="Q119" s="9" t="str">
        <f t="shared" si="22"/>
        <v>Jun</v>
      </c>
      <c r="R119" s="9">
        <v>106.98445630000001</v>
      </c>
      <c r="S119" s="15">
        <f t="shared" si="23"/>
        <v>80.496000000000009</v>
      </c>
      <c r="T119" s="9" t="str">
        <f t="shared" si="24"/>
        <v>Luxury</v>
      </c>
      <c r="U119" s="9" t="str">
        <f t="shared" si="25"/>
        <v>Incomplete</v>
      </c>
      <c r="V119" s="9">
        <f t="shared" si="26"/>
        <v>149</v>
      </c>
      <c r="W119" s="9">
        <f t="shared" si="27"/>
        <v>150</v>
      </c>
    </row>
    <row r="120" spans="1:23" x14ac:dyDescent="0.3">
      <c r="A120" s="9" t="s">
        <v>44</v>
      </c>
      <c r="B120" s="9" t="s">
        <v>206</v>
      </c>
      <c r="C120" s="9" t="s">
        <v>54</v>
      </c>
      <c r="D120" s="12">
        <v>51.645000000000003</v>
      </c>
      <c r="E120" s="13">
        <v>21.61</v>
      </c>
      <c r="F120" s="9">
        <v>2.4</v>
      </c>
      <c r="G120" s="9">
        <v>150</v>
      </c>
      <c r="H120" s="9">
        <v>104.1</v>
      </c>
      <c r="I120" s="9">
        <v>68.400000000000006</v>
      </c>
      <c r="J120" s="9">
        <v>181.9</v>
      </c>
      <c r="K120" s="9">
        <v>2.9060000000000001</v>
      </c>
      <c r="L120" s="9">
        <v>15</v>
      </c>
      <c r="M120" s="9">
        <v>27</v>
      </c>
      <c r="N120" s="13">
        <v>13.79</v>
      </c>
      <c r="O120" s="14">
        <v>40933</v>
      </c>
      <c r="P120" s="9">
        <f t="shared" si="21"/>
        <v>2012</v>
      </c>
      <c r="Q120" s="9" t="str">
        <f t="shared" si="22"/>
        <v>Jan</v>
      </c>
      <c r="R120" s="9">
        <v>62.015870300000003</v>
      </c>
      <c r="S120" s="15">
        <f t="shared" si="23"/>
        <v>1116.04845</v>
      </c>
      <c r="T120" s="9" t="str">
        <f t="shared" si="24"/>
        <v>Mid-range</v>
      </c>
      <c r="U120" s="9" t="str">
        <f t="shared" si="25"/>
        <v>Complete</v>
      </c>
      <c r="V120" s="9">
        <f t="shared" si="26"/>
        <v>51</v>
      </c>
      <c r="W120" s="9">
        <f t="shared" si="27"/>
        <v>49</v>
      </c>
    </row>
    <row r="121" spans="1:23" x14ac:dyDescent="0.3">
      <c r="A121" s="9" t="s">
        <v>44</v>
      </c>
      <c r="B121" s="9" t="s">
        <v>207</v>
      </c>
      <c r="C121" s="9" t="s">
        <v>54</v>
      </c>
      <c r="D121" s="12">
        <v>131.09700000000001</v>
      </c>
      <c r="E121" s="13">
        <v>19.72</v>
      </c>
      <c r="F121" s="9">
        <v>3.4</v>
      </c>
      <c r="G121" s="9">
        <v>175</v>
      </c>
      <c r="H121" s="9">
        <v>107</v>
      </c>
      <c r="I121" s="9">
        <v>70.400000000000006</v>
      </c>
      <c r="J121" s="9">
        <v>186.3</v>
      </c>
      <c r="K121" s="9">
        <v>3.0910000000000002</v>
      </c>
      <c r="L121" s="9">
        <v>15.2</v>
      </c>
      <c r="M121" s="9">
        <v>25</v>
      </c>
      <c r="N121" s="13">
        <v>10.29</v>
      </c>
      <c r="O121" s="14">
        <v>41239</v>
      </c>
      <c r="P121" s="9">
        <f t="shared" si="21"/>
        <v>2012</v>
      </c>
      <c r="Q121" s="9" t="str">
        <f t="shared" si="22"/>
        <v>Nov</v>
      </c>
      <c r="R121" s="9">
        <v>70.389737260000004</v>
      </c>
      <c r="S121" s="15">
        <f t="shared" si="23"/>
        <v>2585.2328400000001</v>
      </c>
      <c r="T121" s="9" t="str">
        <f t="shared" si="24"/>
        <v>Mid-range</v>
      </c>
      <c r="U121" s="9" t="str">
        <f t="shared" si="25"/>
        <v>Complete</v>
      </c>
      <c r="V121" s="9">
        <f t="shared" si="26"/>
        <v>16</v>
      </c>
      <c r="W121" s="9">
        <f t="shared" si="27"/>
        <v>13</v>
      </c>
    </row>
    <row r="122" spans="1:23" x14ac:dyDescent="0.3">
      <c r="A122" s="9" t="s">
        <v>44</v>
      </c>
      <c r="B122" s="9" t="s">
        <v>208</v>
      </c>
      <c r="C122" s="9" t="s">
        <v>54</v>
      </c>
      <c r="D122" s="12">
        <v>19.911000000000001</v>
      </c>
      <c r="E122" s="13">
        <v>25.31</v>
      </c>
      <c r="F122" s="9">
        <v>3.8</v>
      </c>
      <c r="G122" s="9">
        <v>200</v>
      </c>
      <c r="H122" s="9">
        <v>101.1</v>
      </c>
      <c r="I122" s="9">
        <v>74.5</v>
      </c>
      <c r="J122" s="9">
        <v>193.4</v>
      </c>
      <c r="K122" s="9">
        <v>3.492</v>
      </c>
      <c r="L122" s="9">
        <v>16.8</v>
      </c>
      <c r="M122" s="9">
        <v>25</v>
      </c>
      <c r="N122" s="13">
        <v>17.805</v>
      </c>
      <c r="O122" s="14">
        <v>41076</v>
      </c>
      <c r="P122" s="9">
        <f t="shared" si="21"/>
        <v>2012</v>
      </c>
      <c r="Q122" s="9" t="str">
        <f t="shared" si="22"/>
        <v>Jun</v>
      </c>
      <c r="R122" s="9">
        <v>81.492726160000004</v>
      </c>
      <c r="S122" s="15">
        <f t="shared" si="23"/>
        <v>503.94740999999999</v>
      </c>
      <c r="T122" s="9" t="str">
        <f t="shared" si="24"/>
        <v>Mid-range</v>
      </c>
      <c r="U122" s="9" t="str">
        <f t="shared" si="25"/>
        <v>Complete</v>
      </c>
      <c r="V122" s="9">
        <f t="shared" si="26"/>
        <v>100</v>
      </c>
      <c r="W122" s="9">
        <f t="shared" si="27"/>
        <v>101</v>
      </c>
    </row>
    <row r="123" spans="1:23" x14ac:dyDescent="0.3">
      <c r="A123" s="9" t="s">
        <v>44</v>
      </c>
      <c r="B123" s="9" t="s">
        <v>209</v>
      </c>
      <c r="C123" s="9" t="s">
        <v>54</v>
      </c>
      <c r="D123" s="12">
        <v>92.364000000000004</v>
      </c>
      <c r="E123" s="13">
        <v>21.664999999999999</v>
      </c>
      <c r="F123" s="9">
        <v>3.8</v>
      </c>
      <c r="G123" s="9">
        <v>195</v>
      </c>
      <c r="H123" s="9">
        <v>110.5</v>
      </c>
      <c r="I123" s="9">
        <v>72.7</v>
      </c>
      <c r="J123" s="9">
        <v>196.5</v>
      </c>
      <c r="K123" s="9">
        <v>3.3959999999999999</v>
      </c>
      <c r="L123" s="9">
        <v>18</v>
      </c>
      <c r="M123" s="9">
        <v>25</v>
      </c>
      <c r="N123" s="13">
        <v>14.01</v>
      </c>
      <c r="O123" s="14">
        <v>41197</v>
      </c>
      <c r="P123" s="9">
        <f t="shared" si="21"/>
        <v>2012</v>
      </c>
      <c r="Q123" s="9" t="str">
        <f t="shared" si="22"/>
        <v>Oct</v>
      </c>
      <c r="R123" s="9">
        <v>78.318168130000004</v>
      </c>
      <c r="S123" s="15">
        <f t="shared" si="23"/>
        <v>2001.0660600000001</v>
      </c>
      <c r="T123" s="9" t="str">
        <f t="shared" si="24"/>
        <v>Mid-range</v>
      </c>
      <c r="U123" s="9" t="str">
        <f t="shared" si="25"/>
        <v>Complete</v>
      </c>
      <c r="V123" s="9">
        <f t="shared" si="26"/>
        <v>22</v>
      </c>
      <c r="W123" s="9">
        <f t="shared" si="27"/>
        <v>24</v>
      </c>
    </row>
    <row r="124" spans="1:23" x14ac:dyDescent="0.3">
      <c r="A124" s="9" t="s">
        <v>44</v>
      </c>
      <c r="B124" s="9" t="s">
        <v>210</v>
      </c>
      <c r="C124" s="9" t="s">
        <v>54</v>
      </c>
      <c r="D124" s="12">
        <v>35.945</v>
      </c>
      <c r="E124" s="13">
        <v>23.754999999999999</v>
      </c>
      <c r="F124" s="9">
        <v>3.8</v>
      </c>
      <c r="G124" s="9">
        <v>205</v>
      </c>
      <c r="H124" s="9">
        <v>112.2</v>
      </c>
      <c r="I124" s="9">
        <v>72.599999999999994</v>
      </c>
      <c r="J124" s="9">
        <v>202.5</v>
      </c>
      <c r="K124" s="9">
        <v>3.59</v>
      </c>
      <c r="L124" s="9">
        <v>17.5</v>
      </c>
      <c r="M124" s="9">
        <v>24</v>
      </c>
      <c r="N124" s="13">
        <v>13.225</v>
      </c>
      <c r="O124" s="14">
        <v>40681</v>
      </c>
      <c r="P124" s="9">
        <f t="shared" si="21"/>
        <v>2011</v>
      </c>
      <c r="Q124" s="9" t="str">
        <f t="shared" si="22"/>
        <v>May</v>
      </c>
      <c r="R124" s="9">
        <v>82.661355599999993</v>
      </c>
      <c r="S124" s="15">
        <f t="shared" si="23"/>
        <v>853.87347499999998</v>
      </c>
      <c r="T124" s="9" t="str">
        <f t="shared" si="24"/>
        <v>Mid-range</v>
      </c>
      <c r="U124" s="9" t="str">
        <f t="shared" si="25"/>
        <v>Complete</v>
      </c>
      <c r="V124" s="9">
        <f t="shared" si="26"/>
        <v>68</v>
      </c>
      <c r="W124" s="9">
        <f t="shared" si="27"/>
        <v>64</v>
      </c>
    </row>
    <row r="125" spans="1:23" x14ac:dyDescent="0.3">
      <c r="A125" s="9" t="s">
        <v>44</v>
      </c>
      <c r="B125" s="9" t="s">
        <v>211</v>
      </c>
      <c r="C125" s="9" t="s">
        <v>55</v>
      </c>
      <c r="D125" s="12">
        <v>39.572000000000003</v>
      </c>
      <c r="E125" s="13">
        <v>25.635000000000002</v>
      </c>
      <c r="F125" s="9">
        <v>3.4</v>
      </c>
      <c r="G125" s="9">
        <v>185</v>
      </c>
      <c r="H125" s="9">
        <v>120</v>
      </c>
      <c r="I125" s="9">
        <v>72.7</v>
      </c>
      <c r="J125" s="9">
        <v>201.3</v>
      </c>
      <c r="K125" s="9">
        <v>3.9420000000000002</v>
      </c>
      <c r="L125" s="9">
        <v>25</v>
      </c>
      <c r="M125" s="9">
        <v>23</v>
      </c>
      <c r="N125" s="13"/>
      <c r="O125" s="14">
        <v>41112</v>
      </c>
      <c r="P125" s="9">
        <f t="shared" si="21"/>
        <v>2012</v>
      </c>
      <c r="Q125" s="9" t="str">
        <f t="shared" si="22"/>
        <v>Jul</v>
      </c>
      <c r="R125" s="9">
        <v>76.208439519999999</v>
      </c>
      <c r="S125" s="15">
        <f t="shared" si="23"/>
        <v>1014.4282200000001</v>
      </c>
      <c r="T125" s="9" t="str">
        <f t="shared" si="24"/>
        <v>Mid-range</v>
      </c>
      <c r="U125" s="9" t="str">
        <f t="shared" si="25"/>
        <v>Incomplete</v>
      </c>
      <c r="V125" s="9">
        <f t="shared" si="26"/>
        <v>63</v>
      </c>
      <c r="W125" s="9">
        <f t="shared" si="27"/>
        <v>53</v>
      </c>
    </row>
    <row r="126" spans="1:23" x14ac:dyDescent="0.3">
      <c r="A126" s="9" t="s">
        <v>45</v>
      </c>
      <c r="B126" s="9" t="s">
        <v>212</v>
      </c>
      <c r="C126" s="9" t="s">
        <v>54</v>
      </c>
      <c r="D126" s="12">
        <v>8.9819999999999993</v>
      </c>
      <c r="E126" s="13">
        <v>41.43</v>
      </c>
      <c r="F126" s="9">
        <v>2.7</v>
      </c>
      <c r="G126" s="9">
        <v>217</v>
      </c>
      <c r="H126" s="9">
        <v>95.2</v>
      </c>
      <c r="I126" s="9">
        <v>70.099999999999994</v>
      </c>
      <c r="J126" s="9">
        <v>171</v>
      </c>
      <c r="K126" s="9">
        <v>2.778</v>
      </c>
      <c r="L126" s="9">
        <v>17</v>
      </c>
      <c r="M126" s="9">
        <v>22</v>
      </c>
      <c r="N126" s="13">
        <v>41.25</v>
      </c>
      <c r="O126" s="14">
        <v>40958</v>
      </c>
      <c r="P126" s="9">
        <f t="shared" si="21"/>
        <v>2012</v>
      </c>
      <c r="Q126" s="9" t="str">
        <f t="shared" si="22"/>
        <v>Feb</v>
      </c>
      <c r="R126" s="9">
        <v>93.437330700000004</v>
      </c>
      <c r="S126" s="15">
        <f t="shared" si="23"/>
        <v>372.12425999999999</v>
      </c>
      <c r="T126" s="9" t="str">
        <f t="shared" si="24"/>
        <v>Luxury</v>
      </c>
      <c r="U126" s="9" t="str">
        <f t="shared" si="25"/>
        <v>Complete</v>
      </c>
      <c r="V126" s="9">
        <f t="shared" si="26"/>
        <v>133</v>
      </c>
      <c r="W126" s="9">
        <f t="shared" si="27"/>
        <v>117</v>
      </c>
    </row>
    <row r="127" spans="1:23" x14ac:dyDescent="0.3">
      <c r="A127" s="9" t="s">
        <v>45</v>
      </c>
      <c r="B127" s="9" t="s">
        <v>213</v>
      </c>
      <c r="C127" s="9" t="s">
        <v>54</v>
      </c>
      <c r="D127" s="12">
        <v>1.28</v>
      </c>
      <c r="E127" s="13">
        <v>71.02</v>
      </c>
      <c r="F127" s="9">
        <v>3.4</v>
      </c>
      <c r="G127" s="9">
        <v>300</v>
      </c>
      <c r="H127" s="9">
        <v>92.6</v>
      </c>
      <c r="I127" s="9">
        <v>69.5</v>
      </c>
      <c r="J127" s="9">
        <v>174.5</v>
      </c>
      <c r="K127" s="9">
        <v>3.032</v>
      </c>
      <c r="L127" s="9">
        <v>17</v>
      </c>
      <c r="M127" s="9">
        <v>21</v>
      </c>
      <c r="N127" s="13">
        <v>60.625</v>
      </c>
      <c r="O127" s="14">
        <v>41264</v>
      </c>
      <c r="P127" s="9">
        <f t="shared" si="21"/>
        <v>2012</v>
      </c>
      <c r="Q127" s="9" t="str">
        <f t="shared" si="22"/>
        <v>Dec</v>
      </c>
      <c r="R127" s="9">
        <v>134.3909754</v>
      </c>
      <c r="S127" s="15">
        <f t="shared" si="23"/>
        <v>90.905599999999993</v>
      </c>
      <c r="T127" s="9" t="str">
        <f t="shared" si="24"/>
        <v>Luxury</v>
      </c>
      <c r="U127" s="9" t="str">
        <f t="shared" si="25"/>
        <v>Complete</v>
      </c>
      <c r="V127" s="9">
        <f t="shared" si="26"/>
        <v>153</v>
      </c>
      <c r="W127" s="9">
        <f t="shared" si="27"/>
        <v>144</v>
      </c>
    </row>
    <row r="128" spans="1:23" x14ac:dyDescent="0.3">
      <c r="A128" s="9" t="s">
        <v>45</v>
      </c>
      <c r="B128" s="9" t="s">
        <v>214</v>
      </c>
      <c r="C128" s="9" t="s">
        <v>54</v>
      </c>
      <c r="D128" s="12">
        <v>1.8660000000000001</v>
      </c>
      <c r="E128" s="13">
        <v>74.97</v>
      </c>
      <c r="F128" s="9">
        <v>3.4</v>
      </c>
      <c r="G128" s="9">
        <v>300</v>
      </c>
      <c r="H128" s="9">
        <v>92.6</v>
      </c>
      <c r="I128" s="9">
        <v>69.5</v>
      </c>
      <c r="J128" s="9">
        <v>174.5</v>
      </c>
      <c r="K128" s="9">
        <v>3.0750000000000002</v>
      </c>
      <c r="L128" s="9">
        <v>17</v>
      </c>
      <c r="M128" s="9">
        <v>23</v>
      </c>
      <c r="N128" s="13">
        <v>67.55</v>
      </c>
      <c r="O128" s="14">
        <v>40735</v>
      </c>
      <c r="P128" s="9">
        <f t="shared" si="21"/>
        <v>2011</v>
      </c>
      <c r="Q128" s="9" t="str">
        <f t="shared" si="22"/>
        <v>Jul</v>
      </c>
      <c r="R128" s="9">
        <v>135.91470960000001</v>
      </c>
      <c r="S128" s="15">
        <f t="shared" si="23"/>
        <v>139.89402000000001</v>
      </c>
      <c r="T128" s="9" t="str">
        <f t="shared" si="24"/>
        <v>Luxury</v>
      </c>
      <c r="U128" s="9" t="str">
        <f t="shared" si="25"/>
        <v>Complete</v>
      </c>
      <c r="V128" s="9">
        <f t="shared" si="26"/>
        <v>150</v>
      </c>
      <c r="W128" s="9">
        <f t="shared" si="27"/>
        <v>142</v>
      </c>
    </row>
    <row r="129" spans="1:23" x14ac:dyDescent="0.3">
      <c r="A129" s="9" t="s">
        <v>46</v>
      </c>
      <c r="B129" s="9" t="s">
        <v>215</v>
      </c>
      <c r="C129" s="9" t="s">
        <v>54</v>
      </c>
      <c r="D129" s="12">
        <v>9.1910000000000007</v>
      </c>
      <c r="E129" s="13">
        <v>33.119999999999997</v>
      </c>
      <c r="F129" s="9">
        <v>2.2999999999999998</v>
      </c>
      <c r="G129" s="9">
        <v>170</v>
      </c>
      <c r="H129" s="9">
        <v>106.4</v>
      </c>
      <c r="I129" s="9">
        <v>70.599999999999994</v>
      </c>
      <c r="J129" s="9">
        <v>189.2</v>
      </c>
      <c r="K129" s="9">
        <v>3.28</v>
      </c>
      <c r="L129" s="9">
        <v>18.5</v>
      </c>
      <c r="M129" s="9">
        <v>23</v>
      </c>
      <c r="N129" s="13"/>
      <c r="O129" s="14">
        <v>41222</v>
      </c>
      <c r="P129" s="9">
        <f t="shared" si="21"/>
        <v>2012</v>
      </c>
      <c r="Q129" s="9" t="str">
        <f t="shared" si="22"/>
        <v>Nov</v>
      </c>
      <c r="R129" s="9">
        <v>73.503778190000006</v>
      </c>
      <c r="S129" s="15">
        <f t="shared" si="23"/>
        <v>304.40591999999998</v>
      </c>
      <c r="T129" s="9" t="str">
        <f t="shared" si="24"/>
        <v>Luxury</v>
      </c>
      <c r="U129" s="9" t="str">
        <f t="shared" si="25"/>
        <v>Incomplete</v>
      </c>
      <c r="V129" s="9">
        <f t="shared" si="26"/>
        <v>131</v>
      </c>
      <c r="W129" s="9">
        <f t="shared" si="27"/>
        <v>130</v>
      </c>
    </row>
    <row r="130" spans="1:23" x14ac:dyDescent="0.3">
      <c r="A130" s="9" t="s">
        <v>46</v>
      </c>
      <c r="B130" s="9" t="s">
        <v>216</v>
      </c>
      <c r="C130" s="9" t="s">
        <v>54</v>
      </c>
      <c r="D130" s="12">
        <v>12.115</v>
      </c>
      <c r="E130" s="13">
        <v>26.1</v>
      </c>
      <c r="F130" s="9">
        <v>2</v>
      </c>
      <c r="G130" s="9">
        <v>185</v>
      </c>
      <c r="H130" s="9">
        <v>102.6</v>
      </c>
      <c r="I130" s="9">
        <v>67.400000000000006</v>
      </c>
      <c r="J130" s="9">
        <v>182.2</v>
      </c>
      <c r="K130" s="9">
        <v>2.99</v>
      </c>
      <c r="L130" s="9">
        <v>16.899999999999999</v>
      </c>
      <c r="M130" s="9">
        <v>23</v>
      </c>
      <c r="N130" s="13"/>
      <c r="O130" s="14">
        <v>40706</v>
      </c>
      <c r="P130" s="9">
        <f t="shared" ref="P130:P158" si="28">YEAR(O130)</f>
        <v>2011</v>
      </c>
      <c r="Q130" s="9" t="str">
        <f t="shared" ref="Q130:Q158" si="29">TEXT(O130,"mmm")</f>
        <v>Jun</v>
      </c>
      <c r="R130" s="9">
        <v>76.02304771</v>
      </c>
      <c r="S130" s="15">
        <f t="shared" ref="S130:S158" si="30">IFERROR(D130*E130,"")</f>
        <v>316.20150000000001</v>
      </c>
      <c r="T130" s="9" t="str">
        <f t="shared" ref="T130:T158" si="31">IF(E130="","Unknown",_xlfn.IFS(E130&lt;15,"Budget",E130&lt;30,"Mid-range",TRUE(),"Luxury"))</f>
        <v>Mid-range</v>
      </c>
      <c r="U130" s="9" t="str">
        <f t="shared" ref="U130:U158" si="32">IF(COUNTBLANK(D130:R130)&gt;0,"Incomplete","Complete")</f>
        <v>Incomplete</v>
      </c>
      <c r="V130" s="9">
        <f t="shared" ref="V130:V158" si="33">IFERROR(RANK(D130,$D$2:$D$158),"")</f>
        <v>123</v>
      </c>
      <c r="W130" s="9">
        <f t="shared" ref="W130:W158" si="34">IFERROR(RANK(S130,$S$2:$S$158),"")</f>
        <v>126</v>
      </c>
    </row>
    <row r="131" spans="1:23" x14ac:dyDescent="0.3">
      <c r="A131" s="9" t="s">
        <v>47</v>
      </c>
      <c r="B131" s="9" t="s">
        <v>217</v>
      </c>
      <c r="C131" s="9" t="s">
        <v>54</v>
      </c>
      <c r="D131" s="12">
        <v>80.62</v>
      </c>
      <c r="E131" s="13">
        <v>10.685</v>
      </c>
      <c r="F131" s="9">
        <v>1.9</v>
      </c>
      <c r="G131" s="9">
        <v>100</v>
      </c>
      <c r="H131" s="9">
        <v>102.4</v>
      </c>
      <c r="I131" s="9">
        <v>66.400000000000006</v>
      </c>
      <c r="J131" s="9">
        <v>176.9</v>
      </c>
      <c r="K131" s="9">
        <v>2.3319999999999999</v>
      </c>
      <c r="L131" s="9">
        <v>12.1</v>
      </c>
      <c r="M131" s="9">
        <v>33</v>
      </c>
      <c r="N131" s="13">
        <v>9.1999999999999993</v>
      </c>
      <c r="O131" s="14">
        <v>41137</v>
      </c>
      <c r="P131" s="9">
        <f t="shared" si="28"/>
        <v>2012</v>
      </c>
      <c r="Q131" s="9" t="str">
        <f t="shared" si="29"/>
        <v>Aug</v>
      </c>
      <c r="R131" s="9">
        <v>39.986424749999998</v>
      </c>
      <c r="S131" s="15">
        <f t="shared" si="30"/>
        <v>861.42470000000014</v>
      </c>
      <c r="T131" s="9" t="str">
        <f t="shared" si="31"/>
        <v>Budget</v>
      </c>
      <c r="U131" s="9" t="str">
        <f t="shared" si="32"/>
        <v>Complete</v>
      </c>
      <c r="V131" s="9">
        <f t="shared" si="33"/>
        <v>30</v>
      </c>
      <c r="W131" s="9">
        <f t="shared" si="34"/>
        <v>63</v>
      </c>
    </row>
    <row r="132" spans="1:23" x14ac:dyDescent="0.3">
      <c r="A132" s="9" t="s">
        <v>47</v>
      </c>
      <c r="B132" s="9" t="s">
        <v>218</v>
      </c>
      <c r="C132" s="9" t="s">
        <v>54</v>
      </c>
      <c r="D132" s="12">
        <v>24.545999999999999</v>
      </c>
      <c r="E132" s="13">
        <v>12.535</v>
      </c>
      <c r="F132" s="9">
        <v>1.9</v>
      </c>
      <c r="G132" s="9">
        <v>100</v>
      </c>
      <c r="H132" s="9">
        <v>102.4</v>
      </c>
      <c r="I132" s="9">
        <v>66.400000000000006</v>
      </c>
      <c r="J132" s="9">
        <v>180</v>
      </c>
      <c r="K132" s="9">
        <v>2.367</v>
      </c>
      <c r="L132" s="9">
        <v>12.1</v>
      </c>
      <c r="M132" s="9">
        <v>33</v>
      </c>
      <c r="N132" s="13">
        <v>10.59</v>
      </c>
      <c r="O132" s="14">
        <v>40618</v>
      </c>
      <c r="P132" s="9">
        <f t="shared" si="28"/>
        <v>2011</v>
      </c>
      <c r="Q132" s="9" t="str">
        <f t="shared" si="29"/>
        <v>Mar</v>
      </c>
      <c r="R132" s="9">
        <v>40.700072419999998</v>
      </c>
      <c r="S132" s="15">
        <f t="shared" si="30"/>
        <v>307.68410999999998</v>
      </c>
      <c r="T132" s="9" t="str">
        <f t="shared" si="31"/>
        <v>Budget</v>
      </c>
      <c r="U132" s="9" t="str">
        <f t="shared" si="32"/>
        <v>Complete</v>
      </c>
      <c r="V132" s="9">
        <f t="shared" si="33"/>
        <v>90</v>
      </c>
      <c r="W132" s="9">
        <f t="shared" si="34"/>
        <v>129</v>
      </c>
    </row>
    <row r="133" spans="1:23" x14ac:dyDescent="0.3">
      <c r="A133" s="9" t="s">
        <v>47</v>
      </c>
      <c r="B133" s="9" t="s">
        <v>219</v>
      </c>
      <c r="C133" s="9" t="s">
        <v>54</v>
      </c>
      <c r="D133" s="12">
        <v>5.2229999999999999</v>
      </c>
      <c r="E133" s="13">
        <v>14.29</v>
      </c>
      <c r="F133" s="9">
        <v>1.9</v>
      </c>
      <c r="G133" s="9">
        <v>124</v>
      </c>
      <c r="H133" s="9">
        <v>102.4</v>
      </c>
      <c r="I133" s="9">
        <v>66.400000000000006</v>
      </c>
      <c r="J133" s="9">
        <v>176.9</v>
      </c>
      <c r="K133" s="9">
        <v>2.452</v>
      </c>
      <c r="L133" s="9">
        <v>12.1</v>
      </c>
      <c r="M133" s="9">
        <v>31</v>
      </c>
      <c r="N133" s="13">
        <v>10.79</v>
      </c>
      <c r="O133" s="14">
        <v>40558</v>
      </c>
      <c r="P133" s="9">
        <f t="shared" si="28"/>
        <v>2011</v>
      </c>
      <c r="Q133" s="9" t="str">
        <f t="shared" si="29"/>
        <v>Jan</v>
      </c>
      <c r="R133" s="9">
        <v>49.865773670000003</v>
      </c>
      <c r="S133" s="15">
        <f t="shared" si="30"/>
        <v>74.636669999999995</v>
      </c>
      <c r="T133" s="9" t="str">
        <f t="shared" si="31"/>
        <v>Budget</v>
      </c>
      <c r="U133" s="9" t="str">
        <f t="shared" si="32"/>
        <v>Complete</v>
      </c>
      <c r="V133" s="9">
        <f t="shared" si="33"/>
        <v>143</v>
      </c>
      <c r="W133" s="9">
        <f t="shared" si="34"/>
        <v>151</v>
      </c>
    </row>
    <row r="134" spans="1:23" x14ac:dyDescent="0.3">
      <c r="A134" s="9" t="s">
        <v>47</v>
      </c>
      <c r="B134" s="9" t="s">
        <v>220</v>
      </c>
      <c r="C134" s="9" t="s">
        <v>54</v>
      </c>
      <c r="D134" s="12">
        <v>8.4719999999999995</v>
      </c>
      <c r="E134" s="13">
        <v>18.835000000000001</v>
      </c>
      <c r="F134" s="9">
        <v>2.2000000000000002</v>
      </c>
      <c r="G134" s="9">
        <v>137</v>
      </c>
      <c r="H134" s="9">
        <v>106.5</v>
      </c>
      <c r="I134" s="9">
        <v>69</v>
      </c>
      <c r="J134" s="9">
        <v>190.4</v>
      </c>
      <c r="K134" s="9">
        <v>3.0750000000000002</v>
      </c>
      <c r="L134" s="9">
        <v>13.1</v>
      </c>
      <c r="M134" s="9">
        <v>27</v>
      </c>
      <c r="N134" s="13"/>
      <c r="O134" s="14">
        <v>40760</v>
      </c>
      <c r="P134" s="9">
        <f t="shared" si="28"/>
        <v>2011</v>
      </c>
      <c r="Q134" s="9" t="str">
        <f t="shared" si="29"/>
        <v>Aug</v>
      </c>
      <c r="R134" s="9">
        <v>56.295243040000003</v>
      </c>
      <c r="S134" s="15">
        <f t="shared" si="30"/>
        <v>159.57012</v>
      </c>
      <c r="T134" s="9" t="str">
        <f t="shared" si="31"/>
        <v>Mid-range</v>
      </c>
      <c r="U134" s="9" t="str">
        <f t="shared" si="32"/>
        <v>Incomplete</v>
      </c>
      <c r="V134" s="9">
        <f t="shared" si="33"/>
        <v>135</v>
      </c>
      <c r="W134" s="9">
        <f t="shared" si="34"/>
        <v>136</v>
      </c>
    </row>
    <row r="135" spans="1:23" x14ac:dyDescent="0.3">
      <c r="A135" s="9" t="s">
        <v>47</v>
      </c>
      <c r="B135" s="9" t="s">
        <v>221</v>
      </c>
      <c r="C135" s="9" t="s">
        <v>54</v>
      </c>
      <c r="D135" s="12">
        <v>49.988999999999997</v>
      </c>
      <c r="E135" s="13">
        <v>15.01</v>
      </c>
      <c r="F135" s="9">
        <v>2.2000000000000002</v>
      </c>
      <c r="G135" s="9">
        <v>137</v>
      </c>
      <c r="H135" s="9">
        <v>106.5</v>
      </c>
      <c r="I135" s="9">
        <v>69</v>
      </c>
      <c r="J135" s="9">
        <v>190.4</v>
      </c>
      <c r="K135" s="9">
        <v>2.91</v>
      </c>
      <c r="L135" s="9">
        <v>13.1</v>
      </c>
      <c r="M135" s="9">
        <v>28</v>
      </c>
      <c r="N135" s="13"/>
      <c r="O135" s="14">
        <v>41247</v>
      </c>
      <c r="P135" s="9">
        <f t="shared" si="28"/>
        <v>2012</v>
      </c>
      <c r="Q135" s="9" t="str">
        <f t="shared" si="29"/>
        <v>Dec</v>
      </c>
      <c r="R135" s="9">
        <v>54.819728249999997</v>
      </c>
      <c r="S135" s="15">
        <f t="shared" si="30"/>
        <v>750.33488999999997</v>
      </c>
      <c r="T135" s="9" t="str">
        <f t="shared" si="31"/>
        <v>Mid-range</v>
      </c>
      <c r="U135" s="9" t="str">
        <f t="shared" si="32"/>
        <v>Incomplete</v>
      </c>
      <c r="V135" s="9">
        <f t="shared" si="33"/>
        <v>54</v>
      </c>
      <c r="W135" s="9">
        <f t="shared" si="34"/>
        <v>75</v>
      </c>
    </row>
    <row r="136" spans="1:23" x14ac:dyDescent="0.3">
      <c r="A136" s="9" t="s">
        <v>48</v>
      </c>
      <c r="B136" s="9" t="s">
        <v>222</v>
      </c>
      <c r="C136" s="9" t="s">
        <v>54</v>
      </c>
      <c r="D136" s="12">
        <v>47.106999999999999</v>
      </c>
      <c r="E136" s="13">
        <v>22.695</v>
      </c>
      <c r="F136" s="9">
        <v>2.5</v>
      </c>
      <c r="G136" s="9">
        <v>165</v>
      </c>
      <c r="H136" s="9">
        <v>103.5</v>
      </c>
      <c r="I136" s="9">
        <v>67.5</v>
      </c>
      <c r="J136" s="9">
        <v>185.8</v>
      </c>
      <c r="K136" s="9">
        <v>3.415</v>
      </c>
      <c r="L136" s="9">
        <v>16.899999999999999</v>
      </c>
      <c r="M136" s="9">
        <v>25</v>
      </c>
      <c r="N136" s="13"/>
      <c r="O136" s="14">
        <v>40731</v>
      </c>
      <c r="P136" s="9">
        <f t="shared" si="28"/>
        <v>2011</v>
      </c>
      <c r="Q136" s="9" t="str">
        <f t="shared" si="29"/>
        <v>Jul</v>
      </c>
      <c r="R136" s="9">
        <v>67.765907600000006</v>
      </c>
      <c r="S136" s="15">
        <f t="shared" si="30"/>
        <v>1069.0933649999999</v>
      </c>
      <c r="T136" s="9" t="str">
        <f t="shared" si="31"/>
        <v>Mid-range</v>
      </c>
      <c r="U136" s="9" t="str">
        <f t="shared" si="32"/>
        <v>Incomplete</v>
      </c>
      <c r="V136" s="9">
        <f t="shared" si="33"/>
        <v>57</v>
      </c>
      <c r="W136" s="9">
        <f t="shared" si="34"/>
        <v>51</v>
      </c>
    </row>
    <row r="137" spans="1:23" x14ac:dyDescent="0.3">
      <c r="A137" s="9" t="s">
        <v>48</v>
      </c>
      <c r="B137" s="9" t="s">
        <v>223</v>
      </c>
      <c r="C137" s="9" t="s">
        <v>55</v>
      </c>
      <c r="D137" s="12">
        <v>33.027999999999999</v>
      </c>
      <c r="E137" s="13">
        <v>20.094999999999999</v>
      </c>
      <c r="F137" s="9">
        <v>2.5</v>
      </c>
      <c r="G137" s="9">
        <v>165</v>
      </c>
      <c r="H137" s="9">
        <v>99.4</v>
      </c>
      <c r="I137" s="9">
        <v>68.3</v>
      </c>
      <c r="J137" s="9">
        <v>175.2</v>
      </c>
      <c r="K137" s="9">
        <v>3.125</v>
      </c>
      <c r="L137" s="9">
        <v>15.9</v>
      </c>
      <c r="M137" s="9">
        <v>24</v>
      </c>
      <c r="N137" s="13"/>
      <c r="O137" s="14">
        <v>41162</v>
      </c>
      <c r="P137" s="9">
        <f t="shared" si="28"/>
        <v>2012</v>
      </c>
      <c r="Q137" s="9" t="str">
        <f t="shared" si="29"/>
        <v>Sep</v>
      </c>
      <c r="R137" s="9">
        <v>66.762943309999997</v>
      </c>
      <c r="S137" s="15">
        <f t="shared" si="30"/>
        <v>663.69765999999993</v>
      </c>
      <c r="T137" s="9" t="str">
        <f t="shared" si="31"/>
        <v>Mid-range</v>
      </c>
      <c r="U137" s="9" t="str">
        <f t="shared" si="32"/>
        <v>Incomplete</v>
      </c>
      <c r="V137" s="9">
        <f t="shared" si="33"/>
        <v>71</v>
      </c>
      <c r="W137" s="9">
        <f t="shared" si="34"/>
        <v>83</v>
      </c>
    </row>
    <row r="138" spans="1:23" x14ac:dyDescent="0.3">
      <c r="A138" s="9" t="s">
        <v>49</v>
      </c>
      <c r="B138" s="9" t="s">
        <v>224</v>
      </c>
      <c r="C138" s="9" t="s">
        <v>54</v>
      </c>
      <c r="D138" s="12">
        <v>142.535</v>
      </c>
      <c r="E138" s="13">
        <v>13.108000000000001</v>
      </c>
      <c r="F138" s="9">
        <v>1.8</v>
      </c>
      <c r="G138" s="9">
        <v>120</v>
      </c>
      <c r="H138" s="9">
        <v>97</v>
      </c>
      <c r="I138" s="9">
        <v>66.7</v>
      </c>
      <c r="J138" s="9">
        <v>174</v>
      </c>
      <c r="K138" s="9">
        <v>2.42</v>
      </c>
      <c r="L138" s="9">
        <v>13.2</v>
      </c>
      <c r="M138" s="9">
        <v>33</v>
      </c>
      <c r="N138" s="13">
        <v>10.025</v>
      </c>
      <c r="O138" s="14">
        <v>40644</v>
      </c>
      <c r="P138" s="9">
        <f t="shared" si="28"/>
        <v>2011</v>
      </c>
      <c r="Q138" s="9" t="str">
        <f t="shared" si="29"/>
        <v>Apr</v>
      </c>
      <c r="R138" s="9">
        <v>47.96897242</v>
      </c>
      <c r="S138" s="15">
        <f t="shared" si="30"/>
        <v>1868.34878</v>
      </c>
      <c r="T138" s="9" t="str">
        <f t="shared" si="31"/>
        <v>Budget</v>
      </c>
      <c r="U138" s="9" t="str">
        <f t="shared" si="32"/>
        <v>Complete</v>
      </c>
      <c r="V138" s="9">
        <f t="shared" si="33"/>
        <v>14</v>
      </c>
      <c r="W138" s="9">
        <f t="shared" si="34"/>
        <v>29</v>
      </c>
    </row>
    <row r="139" spans="1:23" x14ac:dyDescent="0.3">
      <c r="A139" s="9" t="s">
        <v>49</v>
      </c>
      <c r="B139" s="9" t="s">
        <v>225</v>
      </c>
      <c r="C139" s="9" t="s">
        <v>54</v>
      </c>
      <c r="D139" s="12">
        <v>247.994</v>
      </c>
      <c r="E139" s="13">
        <v>17.518000000000001</v>
      </c>
      <c r="F139" s="9">
        <v>2.2000000000000002</v>
      </c>
      <c r="G139" s="9">
        <v>133</v>
      </c>
      <c r="H139" s="9">
        <v>105.2</v>
      </c>
      <c r="I139" s="9">
        <v>70.099999999999994</v>
      </c>
      <c r="J139" s="9">
        <v>188.5</v>
      </c>
      <c r="K139" s="9">
        <v>2.9980000000000002</v>
      </c>
      <c r="L139" s="9">
        <v>18.5</v>
      </c>
      <c r="M139" s="9">
        <v>27</v>
      </c>
      <c r="N139" s="13">
        <v>13.244999999999999</v>
      </c>
      <c r="O139" s="14">
        <v>40584</v>
      </c>
      <c r="P139" s="9">
        <f t="shared" si="28"/>
        <v>2011</v>
      </c>
      <c r="Q139" s="9" t="str">
        <f t="shared" si="29"/>
        <v>Feb</v>
      </c>
      <c r="R139" s="9">
        <v>54.372419649999998</v>
      </c>
      <c r="S139" s="15">
        <f t="shared" si="30"/>
        <v>4344.3588920000002</v>
      </c>
      <c r="T139" s="9" t="str">
        <f t="shared" si="31"/>
        <v>Mid-range</v>
      </c>
      <c r="U139" s="9" t="str">
        <f t="shared" si="32"/>
        <v>Complete</v>
      </c>
      <c r="V139" s="9">
        <f t="shared" si="33"/>
        <v>3</v>
      </c>
      <c r="W139" s="9">
        <f t="shared" si="34"/>
        <v>6</v>
      </c>
    </row>
    <row r="140" spans="1:23" x14ac:dyDescent="0.3">
      <c r="A140" s="9" t="s">
        <v>49</v>
      </c>
      <c r="B140" s="9" t="s">
        <v>226</v>
      </c>
      <c r="C140" s="9" t="s">
        <v>54</v>
      </c>
      <c r="D140" s="12">
        <v>63.848999999999997</v>
      </c>
      <c r="E140" s="13">
        <v>25.545000000000002</v>
      </c>
      <c r="F140" s="9">
        <v>3</v>
      </c>
      <c r="G140" s="9">
        <v>210</v>
      </c>
      <c r="H140" s="9">
        <v>107.1</v>
      </c>
      <c r="I140" s="9">
        <v>71.7</v>
      </c>
      <c r="J140" s="9">
        <v>191.9</v>
      </c>
      <c r="K140" s="9">
        <v>3.4169999999999998</v>
      </c>
      <c r="L140" s="9">
        <v>18.5</v>
      </c>
      <c r="M140" s="9">
        <v>26</v>
      </c>
      <c r="N140" s="13">
        <v>18.14</v>
      </c>
      <c r="O140" s="14">
        <v>40786</v>
      </c>
      <c r="P140" s="9">
        <f t="shared" si="28"/>
        <v>2011</v>
      </c>
      <c r="Q140" s="9" t="str">
        <f t="shared" si="29"/>
        <v>Aug</v>
      </c>
      <c r="R140" s="9">
        <v>84.911898260000001</v>
      </c>
      <c r="S140" s="15">
        <f t="shared" si="30"/>
        <v>1631.0227050000001</v>
      </c>
      <c r="T140" s="9" t="str">
        <f t="shared" si="31"/>
        <v>Mid-range</v>
      </c>
      <c r="U140" s="9" t="str">
        <f t="shared" si="32"/>
        <v>Complete</v>
      </c>
      <c r="V140" s="9">
        <f t="shared" si="33"/>
        <v>44</v>
      </c>
      <c r="W140" s="9">
        <f t="shared" si="34"/>
        <v>34</v>
      </c>
    </row>
    <row r="141" spans="1:23" x14ac:dyDescent="0.3">
      <c r="A141" s="9" t="s">
        <v>49</v>
      </c>
      <c r="B141" s="9" t="s">
        <v>227</v>
      </c>
      <c r="C141" s="9" t="s">
        <v>54</v>
      </c>
      <c r="D141" s="12">
        <v>33.268999999999998</v>
      </c>
      <c r="E141" s="13">
        <v>16.875</v>
      </c>
      <c r="F141" s="9">
        <v>1.8</v>
      </c>
      <c r="G141" s="9">
        <v>140</v>
      </c>
      <c r="H141" s="9">
        <v>102.4</v>
      </c>
      <c r="I141" s="9">
        <v>68.3</v>
      </c>
      <c r="J141" s="9">
        <v>170.5</v>
      </c>
      <c r="K141" s="9">
        <v>2.4249999999999998</v>
      </c>
      <c r="L141" s="9">
        <v>14.5</v>
      </c>
      <c r="M141" s="9">
        <v>31</v>
      </c>
      <c r="N141" s="13">
        <v>15.445</v>
      </c>
      <c r="O141" s="14">
        <v>41272</v>
      </c>
      <c r="P141" s="9">
        <f t="shared" si="28"/>
        <v>2012</v>
      </c>
      <c r="Q141" s="9" t="str">
        <f t="shared" si="29"/>
        <v>Dec</v>
      </c>
      <c r="R141" s="9">
        <v>56.496030339999997</v>
      </c>
      <c r="S141" s="15">
        <f t="shared" si="30"/>
        <v>561.41437499999995</v>
      </c>
      <c r="T141" s="9" t="str">
        <f t="shared" si="31"/>
        <v>Mid-range</v>
      </c>
      <c r="U141" s="9" t="str">
        <f t="shared" si="32"/>
        <v>Complete</v>
      </c>
      <c r="V141" s="9">
        <f t="shared" si="33"/>
        <v>70</v>
      </c>
      <c r="W141" s="9">
        <f t="shared" si="34"/>
        <v>93</v>
      </c>
    </row>
    <row r="142" spans="1:23" x14ac:dyDescent="0.3">
      <c r="A142" s="9" t="s">
        <v>49</v>
      </c>
      <c r="B142" s="9" t="s">
        <v>228</v>
      </c>
      <c r="C142" s="9" t="s">
        <v>55</v>
      </c>
      <c r="D142" s="12">
        <v>84.087000000000003</v>
      </c>
      <c r="E142" s="13">
        <v>11.528</v>
      </c>
      <c r="F142" s="9">
        <v>2.4</v>
      </c>
      <c r="G142" s="9">
        <v>142</v>
      </c>
      <c r="H142" s="9">
        <v>103.3</v>
      </c>
      <c r="I142" s="9">
        <v>66.5</v>
      </c>
      <c r="J142" s="9">
        <v>178.7</v>
      </c>
      <c r="K142" s="9">
        <v>2.58</v>
      </c>
      <c r="L142" s="9">
        <v>15.1</v>
      </c>
      <c r="M142" s="9">
        <v>23</v>
      </c>
      <c r="N142" s="13">
        <v>9.5749999999999993</v>
      </c>
      <c r="O142" s="14">
        <v>40756</v>
      </c>
      <c r="P142" s="9">
        <f t="shared" si="28"/>
        <v>2011</v>
      </c>
      <c r="Q142" s="9" t="str">
        <f t="shared" si="29"/>
        <v>Aug</v>
      </c>
      <c r="R142" s="9">
        <v>55.297116580000001</v>
      </c>
      <c r="S142" s="15">
        <f t="shared" si="30"/>
        <v>969.35493600000007</v>
      </c>
      <c r="T142" s="9" t="str">
        <f t="shared" si="31"/>
        <v>Budget</v>
      </c>
      <c r="U142" s="9" t="str">
        <f t="shared" si="32"/>
        <v>Complete</v>
      </c>
      <c r="V142" s="9">
        <f t="shared" si="33"/>
        <v>26</v>
      </c>
      <c r="W142" s="9">
        <f t="shared" si="34"/>
        <v>56</v>
      </c>
    </row>
    <row r="143" spans="1:23" x14ac:dyDescent="0.3">
      <c r="A143" s="9" t="s">
        <v>49</v>
      </c>
      <c r="B143" s="9" t="s">
        <v>229</v>
      </c>
      <c r="C143" s="9" t="s">
        <v>55</v>
      </c>
      <c r="D143" s="12">
        <v>65.119</v>
      </c>
      <c r="E143" s="13">
        <v>22.367999999999999</v>
      </c>
      <c r="F143" s="9">
        <v>3</v>
      </c>
      <c r="G143" s="9">
        <v>194</v>
      </c>
      <c r="H143" s="9">
        <v>114.2</v>
      </c>
      <c r="I143" s="9">
        <v>73.400000000000006</v>
      </c>
      <c r="J143" s="9">
        <v>193.5</v>
      </c>
      <c r="K143" s="9">
        <v>3.7589999999999999</v>
      </c>
      <c r="L143" s="9">
        <v>20.9</v>
      </c>
      <c r="M143" s="9">
        <v>22</v>
      </c>
      <c r="N143" s="13"/>
      <c r="O143" s="14">
        <v>41187</v>
      </c>
      <c r="P143" s="9">
        <f t="shared" si="28"/>
        <v>2012</v>
      </c>
      <c r="Q143" s="9" t="str">
        <f t="shared" si="29"/>
        <v>Oct</v>
      </c>
      <c r="R143" s="9">
        <v>78.027219470000006</v>
      </c>
      <c r="S143" s="15">
        <f t="shared" si="30"/>
        <v>1456.581792</v>
      </c>
      <c r="T143" s="9" t="str">
        <f t="shared" si="31"/>
        <v>Mid-range</v>
      </c>
      <c r="U143" s="9" t="str">
        <f t="shared" si="32"/>
        <v>Incomplete</v>
      </c>
      <c r="V143" s="9">
        <f t="shared" si="33"/>
        <v>42</v>
      </c>
      <c r="W143" s="9">
        <f t="shared" si="34"/>
        <v>38</v>
      </c>
    </row>
    <row r="144" spans="1:23" x14ac:dyDescent="0.3">
      <c r="A144" s="9" t="s">
        <v>49</v>
      </c>
      <c r="B144" s="9" t="s">
        <v>230</v>
      </c>
      <c r="C144" s="9" t="s">
        <v>55</v>
      </c>
      <c r="D144" s="12">
        <v>25.106000000000002</v>
      </c>
      <c r="E144" s="13">
        <v>16.888000000000002</v>
      </c>
      <c r="F144" s="9">
        <v>2</v>
      </c>
      <c r="G144" s="9">
        <v>127</v>
      </c>
      <c r="H144" s="9">
        <v>94.9</v>
      </c>
      <c r="I144" s="9">
        <v>66.7</v>
      </c>
      <c r="J144" s="9">
        <v>163.80000000000001</v>
      </c>
      <c r="K144" s="9">
        <v>2.6680000000000001</v>
      </c>
      <c r="L144" s="9">
        <v>15.3</v>
      </c>
      <c r="M144" s="9">
        <v>27</v>
      </c>
      <c r="N144" s="13">
        <v>13.324999999999999</v>
      </c>
      <c r="O144" s="14">
        <v>40669</v>
      </c>
      <c r="P144" s="9">
        <f t="shared" si="28"/>
        <v>2011</v>
      </c>
      <c r="Q144" s="9" t="str">
        <f t="shared" si="29"/>
        <v>May</v>
      </c>
      <c r="R144" s="9">
        <v>51.955108869999997</v>
      </c>
      <c r="S144" s="15">
        <f t="shared" si="30"/>
        <v>423.99012800000008</v>
      </c>
      <c r="T144" s="9" t="str">
        <f t="shared" si="31"/>
        <v>Mid-range</v>
      </c>
      <c r="U144" s="9" t="str">
        <f t="shared" si="32"/>
        <v>Complete</v>
      </c>
      <c r="V144" s="9">
        <f t="shared" si="33"/>
        <v>88</v>
      </c>
      <c r="W144" s="9">
        <f t="shared" si="34"/>
        <v>111</v>
      </c>
    </row>
    <row r="145" spans="1:23" x14ac:dyDescent="0.3">
      <c r="A145" s="9" t="s">
        <v>49</v>
      </c>
      <c r="B145" s="9" t="s">
        <v>231</v>
      </c>
      <c r="C145" s="9" t="s">
        <v>55</v>
      </c>
      <c r="D145" s="12">
        <v>68.411000000000001</v>
      </c>
      <c r="E145" s="13">
        <v>22.288</v>
      </c>
      <c r="F145" s="9">
        <v>2.7</v>
      </c>
      <c r="G145" s="9">
        <v>150</v>
      </c>
      <c r="H145" s="9">
        <v>105.3</v>
      </c>
      <c r="I145" s="9">
        <v>66.5</v>
      </c>
      <c r="J145" s="9">
        <v>183.3</v>
      </c>
      <c r="K145" s="9">
        <v>3.44</v>
      </c>
      <c r="L145" s="9">
        <v>18.5</v>
      </c>
      <c r="M145" s="9">
        <v>23</v>
      </c>
      <c r="N145" s="13">
        <v>19.425000000000001</v>
      </c>
      <c r="O145" s="14">
        <v>40609</v>
      </c>
      <c r="P145" s="9">
        <f t="shared" si="28"/>
        <v>2011</v>
      </c>
      <c r="Q145" s="9" t="str">
        <f t="shared" si="29"/>
        <v>Mar</v>
      </c>
      <c r="R145" s="9">
        <v>62.35557713</v>
      </c>
      <c r="S145" s="15">
        <f t="shared" si="30"/>
        <v>1524.7443680000001</v>
      </c>
      <c r="T145" s="9" t="str">
        <f t="shared" si="31"/>
        <v>Mid-range</v>
      </c>
      <c r="U145" s="9" t="str">
        <f t="shared" si="32"/>
        <v>Complete</v>
      </c>
      <c r="V145" s="9">
        <f t="shared" si="33"/>
        <v>39</v>
      </c>
      <c r="W145" s="9">
        <f t="shared" si="34"/>
        <v>35</v>
      </c>
    </row>
    <row r="146" spans="1:23" x14ac:dyDescent="0.3">
      <c r="A146" s="9" t="s">
        <v>49</v>
      </c>
      <c r="B146" s="9" t="s">
        <v>232</v>
      </c>
      <c r="C146" s="9" t="s">
        <v>55</v>
      </c>
      <c r="D146" s="12">
        <v>9.8350000000000009</v>
      </c>
      <c r="E146" s="13">
        <v>51.728000000000002</v>
      </c>
      <c r="F146" s="9">
        <v>4.7</v>
      </c>
      <c r="G146" s="9">
        <v>230</v>
      </c>
      <c r="H146" s="9">
        <v>112.2</v>
      </c>
      <c r="I146" s="9">
        <v>76.400000000000006</v>
      </c>
      <c r="J146" s="9">
        <v>192.5</v>
      </c>
      <c r="K146" s="9">
        <v>5.1150000000000002</v>
      </c>
      <c r="L146" s="9">
        <v>25.4</v>
      </c>
      <c r="M146" s="9">
        <v>15</v>
      </c>
      <c r="N146" s="13">
        <v>34.08</v>
      </c>
      <c r="O146" s="14">
        <v>40811</v>
      </c>
      <c r="P146" s="9">
        <f t="shared" si="28"/>
        <v>2011</v>
      </c>
      <c r="Q146" s="9" t="str">
        <f t="shared" si="29"/>
        <v>Sep</v>
      </c>
      <c r="R146" s="9">
        <v>102.5289842</v>
      </c>
      <c r="S146" s="15">
        <f t="shared" si="30"/>
        <v>508.74488000000008</v>
      </c>
      <c r="T146" s="9" t="str">
        <f t="shared" si="31"/>
        <v>Luxury</v>
      </c>
      <c r="U146" s="9" t="str">
        <f t="shared" si="32"/>
        <v>Complete</v>
      </c>
      <c r="V146" s="9">
        <f t="shared" si="33"/>
        <v>127</v>
      </c>
      <c r="W146" s="9">
        <f t="shared" si="34"/>
        <v>99</v>
      </c>
    </row>
    <row r="147" spans="1:23" x14ac:dyDescent="0.3">
      <c r="A147" s="9" t="s">
        <v>50</v>
      </c>
      <c r="B147" s="9" t="s">
        <v>233</v>
      </c>
      <c r="C147" s="9" t="s">
        <v>54</v>
      </c>
      <c r="D147" s="12">
        <v>9.7609999999999992</v>
      </c>
      <c r="E147" s="13">
        <v>14.9</v>
      </c>
      <c r="F147" s="9">
        <v>2</v>
      </c>
      <c r="G147" s="9">
        <v>115</v>
      </c>
      <c r="H147" s="9">
        <v>98.9</v>
      </c>
      <c r="I147" s="9">
        <v>68.3</v>
      </c>
      <c r="J147" s="9">
        <v>163.30000000000001</v>
      </c>
      <c r="K147" s="9">
        <v>2.7669999999999999</v>
      </c>
      <c r="L147" s="9">
        <v>14.5</v>
      </c>
      <c r="M147" s="9">
        <v>26</v>
      </c>
      <c r="N147" s="13">
        <v>11.425000000000001</v>
      </c>
      <c r="O147" s="14">
        <v>40567</v>
      </c>
      <c r="P147" s="9">
        <f t="shared" si="28"/>
        <v>2011</v>
      </c>
      <c r="Q147" s="9" t="str">
        <f t="shared" si="29"/>
        <v>Jan</v>
      </c>
      <c r="R147" s="9">
        <v>46.943876760000002</v>
      </c>
      <c r="S147" s="15">
        <f t="shared" si="30"/>
        <v>145.43889999999999</v>
      </c>
      <c r="T147" s="9" t="str">
        <f t="shared" si="31"/>
        <v>Budget</v>
      </c>
      <c r="U147" s="9" t="str">
        <f t="shared" si="32"/>
        <v>Complete</v>
      </c>
      <c r="V147" s="9">
        <f t="shared" si="33"/>
        <v>128</v>
      </c>
      <c r="W147" s="9">
        <f t="shared" si="34"/>
        <v>140</v>
      </c>
    </row>
    <row r="148" spans="1:23" x14ac:dyDescent="0.3">
      <c r="A148" s="9" t="s">
        <v>50</v>
      </c>
      <c r="B148" s="9" t="s">
        <v>234</v>
      </c>
      <c r="C148" s="9" t="s">
        <v>54</v>
      </c>
      <c r="D148" s="12">
        <v>83.721000000000004</v>
      </c>
      <c r="E148" s="13">
        <v>16.7</v>
      </c>
      <c r="F148" s="9">
        <v>2</v>
      </c>
      <c r="G148" s="9">
        <v>115</v>
      </c>
      <c r="H148" s="9">
        <v>98.9</v>
      </c>
      <c r="I148" s="9">
        <v>68.3</v>
      </c>
      <c r="J148" s="9">
        <v>172.3</v>
      </c>
      <c r="K148" s="9">
        <v>2.8530000000000002</v>
      </c>
      <c r="L148" s="9">
        <v>14.5</v>
      </c>
      <c r="M148" s="9">
        <v>26</v>
      </c>
      <c r="N148" s="13">
        <v>13.24</v>
      </c>
      <c r="O148" s="14">
        <v>40782</v>
      </c>
      <c r="P148" s="9">
        <f t="shared" si="28"/>
        <v>2011</v>
      </c>
      <c r="Q148" s="9" t="str">
        <f t="shared" si="29"/>
        <v>Aug</v>
      </c>
      <c r="R148" s="9">
        <v>47.638236659999997</v>
      </c>
      <c r="S148" s="15">
        <f t="shared" si="30"/>
        <v>1398.1406999999999</v>
      </c>
      <c r="T148" s="9" t="str">
        <f t="shared" si="31"/>
        <v>Mid-range</v>
      </c>
      <c r="U148" s="9" t="str">
        <f t="shared" si="32"/>
        <v>Complete</v>
      </c>
      <c r="V148" s="9">
        <f t="shared" si="33"/>
        <v>27</v>
      </c>
      <c r="W148" s="9">
        <f t="shared" si="34"/>
        <v>41</v>
      </c>
    </row>
    <row r="149" spans="1:23" x14ac:dyDescent="0.3">
      <c r="A149" s="9" t="s">
        <v>50</v>
      </c>
      <c r="B149" s="9" t="s">
        <v>235</v>
      </c>
      <c r="C149" s="9" t="s">
        <v>54</v>
      </c>
      <c r="D149" s="12">
        <v>51.101999999999997</v>
      </c>
      <c r="E149" s="13">
        <v>21.2</v>
      </c>
      <c r="F149" s="9">
        <v>1.8</v>
      </c>
      <c r="G149" s="9">
        <v>150</v>
      </c>
      <c r="H149" s="9">
        <v>106.4</v>
      </c>
      <c r="I149" s="9">
        <v>68.5</v>
      </c>
      <c r="J149" s="9">
        <v>184.1</v>
      </c>
      <c r="K149" s="9">
        <v>3.0430000000000001</v>
      </c>
      <c r="L149" s="9">
        <v>16.399999999999999</v>
      </c>
      <c r="M149" s="9">
        <v>27</v>
      </c>
      <c r="N149" s="13">
        <v>16.725000000000001</v>
      </c>
      <c r="O149" s="14">
        <v>41212</v>
      </c>
      <c r="P149" s="9">
        <f t="shared" si="28"/>
        <v>2012</v>
      </c>
      <c r="Q149" s="9" t="str">
        <f t="shared" si="29"/>
        <v>Oct</v>
      </c>
      <c r="R149" s="9">
        <v>61.701381359999999</v>
      </c>
      <c r="S149" s="15">
        <f t="shared" si="30"/>
        <v>1083.3624</v>
      </c>
      <c r="T149" s="9" t="str">
        <f t="shared" si="31"/>
        <v>Mid-range</v>
      </c>
      <c r="U149" s="9" t="str">
        <f t="shared" si="32"/>
        <v>Complete</v>
      </c>
      <c r="V149" s="9">
        <f t="shared" si="33"/>
        <v>53</v>
      </c>
      <c r="W149" s="9">
        <f t="shared" si="34"/>
        <v>50</v>
      </c>
    </row>
    <row r="150" spans="1:23" x14ac:dyDescent="0.3">
      <c r="A150" s="9" t="s">
        <v>50</v>
      </c>
      <c r="B150" s="9" t="s">
        <v>236</v>
      </c>
      <c r="C150" s="9" t="s">
        <v>54</v>
      </c>
      <c r="D150" s="12">
        <v>9.5690000000000008</v>
      </c>
      <c r="E150" s="13">
        <v>19.989999999999998</v>
      </c>
      <c r="F150" s="9">
        <v>2</v>
      </c>
      <c r="G150" s="9">
        <v>115</v>
      </c>
      <c r="H150" s="9">
        <v>97.4</v>
      </c>
      <c r="I150" s="9">
        <v>66.7</v>
      </c>
      <c r="J150" s="9">
        <v>160.4</v>
      </c>
      <c r="K150" s="9">
        <v>3.0790000000000002</v>
      </c>
      <c r="L150" s="9">
        <v>13.7</v>
      </c>
      <c r="M150" s="9">
        <v>26</v>
      </c>
      <c r="N150" s="13">
        <v>16.574999999999999</v>
      </c>
      <c r="O150" s="14">
        <v>40694</v>
      </c>
      <c r="P150" s="9">
        <f t="shared" si="28"/>
        <v>2011</v>
      </c>
      <c r="Q150" s="9" t="str">
        <f t="shared" si="29"/>
        <v>May</v>
      </c>
      <c r="R150" s="9">
        <v>48.907372250000002</v>
      </c>
      <c r="S150" s="15">
        <f t="shared" si="30"/>
        <v>191.28431</v>
      </c>
      <c r="T150" s="9" t="str">
        <f t="shared" si="31"/>
        <v>Mid-range</v>
      </c>
      <c r="U150" s="9" t="str">
        <f t="shared" si="32"/>
        <v>Complete</v>
      </c>
      <c r="V150" s="9">
        <f t="shared" si="33"/>
        <v>129</v>
      </c>
      <c r="W150" s="9">
        <f t="shared" si="34"/>
        <v>135</v>
      </c>
    </row>
    <row r="151" spans="1:23" x14ac:dyDescent="0.3">
      <c r="A151" s="9" t="s">
        <v>50</v>
      </c>
      <c r="B151" s="9" t="s">
        <v>237</v>
      </c>
      <c r="C151" s="9" t="s">
        <v>54</v>
      </c>
      <c r="D151" s="12">
        <v>5.5960000000000001</v>
      </c>
      <c r="E151" s="13">
        <v>17.5</v>
      </c>
      <c r="F151" s="9">
        <v>2</v>
      </c>
      <c r="G151" s="9">
        <v>115</v>
      </c>
      <c r="H151" s="9">
        <v>98.9</v>
      </c>
      <c r="I151" s="9">
        <v>68.3</v>
      </c>
      <c r="J151" s="9">
        <v>163.30000000000001</v>
      </c>
      <c r="K151" s="9">
        <v>2.762</v>
      </c>
      <c r="L151" s="9">
        <v>14.6</v>
      </c>
      <c r="M151" s="9">
        <v>26</v>
      </c>
      <c r="N151" s="13">
        <v>13.76</v>
      </c>
      <c r="O151" s="14">
        <v>40634</v>
      </c>
      <c r="P151" s="9">
        <f t="shared" si="28"/>
        <v>2011</v>
      </c>
      <c r="Q151" s="9" t="str">
        <f t="shared" si="29"/>
        <v>Apr</v>
      </c>
      <c r="R151" s="9">
        <v>47.946841059999997</v>
      </c>
      <c r="S151" s="15">
        <f t="shared" si="30"/>
        <v>97.93</v>
      </c>
      <c r="T151" s="9" t="str">
        <f t="shared" si="31"/>
        <v>Mid-range</v>
      </c>
      <c r="U151" s="9" t="str">
        <f t="shared" si="32"/>
        <v>Complete</v>
      </c>
      <c r="V151" s="9">
        <f t="shared" si="33"/>
        <v>141</v>
      </c>
      <c r="W151" s="9">
        <f t="shared" si="34"/>
        <v>143</v>
      </c>
    </row>
    <row r="152" spans="1:23" x14ac:dyDescent="0.3">
      <c r="A152" s="9" t="s">
        <v>50</v>
      </c>
      <c r="B152" s="9" t="s">
        <v>238</v>
      </c>
      <c r="C152" s="9" t="s">
        <v>54</v>
      </c>
      <c r="D152" s="12">
        <v>49.463000000000001</v>
      </c>
      <c r="E152" s="13">
        <v>15.9</v>
      </c>
      <c r="F152" s="9">
        <v>2</v>
      </c>
      <c r="G152" s="9">
        <v>115</v>
      </c>
      <c r="H152" s="9">
        <v>98.9</v>
      </c>
      <c r="I152" s="9">
        <v>67.900000000000006</v>
      </c>
      <c r="J152" s="9">
        <v>161.1</v>
      </c>
      <c r="K152" s="9">
        <v>2.7690000000000001</v>
      </c>
      <c r="L152" s="9">
        <v>14.5</v>
      </c>
      <c r="M152" s="9">
        <v>26</v>
      </c>
      <c r="N152" s="13"/>
      <c r="O152" s="14">
        <v>40836</v>
      </c>
      <c r="P152" s="9">
        <f t="shared" si="28"/>
        <v>2011</v>
      </c>
      <c r="Q152" s="9" t="str">
        <f t="shared" si="29"/>
        <v>Oct</v>
      </c>
      <c r="R152" s="9">
        <v>47.329632259999997</v>
      </c>
      <c r="S152" s="15">
        <f t="shared" si="30"/>
        <v>786.46170000000006</v>
      </c>
      <c r="T152" s="9" t="str">
        <f t="shared" si="31"/>
        <v>Mid-range</v>
      </c>
      <c r="U152" s="9" t="str">
        <f t="shared" si="32"/>
        <v>Incomplete</v>
      </c>
      <c r="V152" s="9">
        <f t="shared" si="33"/>
        <v>55</v>
      </c>
      <c r="W152" s="9">
        <f t="shared" si="34"/>
        <v>72</v>
      </c>
    </row>
    <row r="153" spans="1:23" x14ac:dyDescent="0.3">
      <c r="A153" s="9" t="s">
        <v>51</v>
      </c>
      <c r="B153" s="9" t="s">
        <v>239</v>
      </c>
      <c r="C153" s="9" t="s">
        <v>54</v>
      </c>
      <c r="D153" s="12">
        <v>16.957000000000001</v>
      </c>
      <c r="E153" s="13">
        <v>23.4</v>
      </c>
      <c r="F153" s="9">
        <v>1.9</v>
      </c>
      <c r="G153" s="9">
        <v>160</v>
      </c>
      <c r="H153" s="9">
        <v>100.5</v>
      </c>
      <c r="I153" s="9">
        <v>67.599999999999994</v>
      </c>
      <c r="J153" s="9">
        <v>176.6</v>
      </c>
      <c r="K153" s="9">
        <v>2.9980000000000002</v>
      </c>
      <c r="L153" s="9">
        <v>15.8</v>
      </c>
      <c r="M153" s="9">
        <v>25</v>
      </c>
      <c r="N153" s="13"/>
      <c r="O153" s="14">
        <v>40592</v>
      </c>
      <c r="P153" s="9">
        <f t="shared" si="28"/>
        <v>2011</v>
      </c>
      <c r="Q153" s="9" t="str">
        <f t="shared" si="29"/>
        <v>Feb</v>
      </c>
      <c r="R153" s="9">
        <v>66.113056799999995</v>
      </c>
      <c r="S153" s="15">
        <f t="shared" si="30"/>
        <v>396.79379999999998</v>
      </c>
      <c r="T153" s="9" t="str">
        <f t="shared" si="31"/>
        <v>Mid-range</v>
      </c>
      <c r="U153" s="9" t="str">
        <f t="shared" si="32"/>
        <v>Incomplete</v>
      </c>
      <c r="V153" s="9">
        <f t="shared" si="33"/>
        <v>108</v>
      </c>
      <c r="W153" s="9">
        <f t="shared" si="34"/>
        <v>115</v>
      </c>
    </row>
    <row r="154" spans="1:23" x14ac:dyDescent="0.3">
      <c r="A154" s="9" t="s">
        <v>51</v>
      </c>
      <c r="B154" s="9" t="s">
        <v>240</v>
      </c>
      <c r="C154" s="9" t="s">
        <v>54</v>
      </c>
      <c r="D154" s="12">
        <v>3.5449999999999999</v>
      </c>
      <c r="E154" s="13">
        <v>24.4</v>
      </c>
      <c r="F154" s="9">
        <v>1.9</v>
      </c>
      <c r="G154" s="9">
        <v>160</v>
      </c>
      <c r="H154" s="9">
        <v>100.5</v>
      </c>
      <c r="I154" s="9">
        <v>67.599999999999994</v>
      </c>
      <c r="J154" s="9">
        <v>176.6</v>
      </c>
      <c r="K154" s="9">
        <v>3.0419999999999998</v>
      </c>
      <c r="L154" s="9">
        <v>15.8</v>
      </c>
      <c r="M154" s="9">
        <v>25</v>
      </c>
      <c r="N154" s="13"/>
      <c r="O154" s="14">
        <v>40807</v>
      </c>
      <c r="P154" s="9">
        <f t="shared" si="28"/>
        <v>2011</v>
      </c>
      <c r="Q154" s="9" t="str">
        <f t="shared" si="29"/>
        <v>Sep</v>
      </c>
      <c r="R154" s="9">
        <v>66.498812299999997</v>
      </c>
      <c r="S154" s="15">
        <f t="shared" si="30"/>
        <v>86.49799999999999</v>
      </c>
      <c r="T154" s="9" t="str">
        <f t="shared" si="31"/>
        <v>Mid-range</v>
      </c>
      <c r="U154" s="9" t="str">
        <f t="shared" si="32"/>
        <v>Incomplete</v>
      </c>
      <c r="V154" s="9">
        <f t="shared" si="33"/>
        <v>145</v>
      </c>
      <c r="W154" s="9">
        <f t="shared" si="34"/>
        <v>146</v>
      </c>
    </row>
    <row r="155" spans="1:23" x14ac:dyDescent="0.3">
      <c r="A155" s="9" t="s">
        <v>51</v>
      </c>
      <c r="B155" s="9" t="s">
        <v>241</v>
      </c>
      <c r="C155" s="9" t="s">
        <v>54</v>
      </c>
      <c r="D155" s="12">
        <v>15.244999999999999</v>
      </c>
      <c r="E155" s="13">
        <v>27.5</v>
      </c>
      <c r="F155" s="9">
        <v>2.4</v>
      </c>
      <c r="G155" s="9">
        <v>168</v>
      </c>
      <c r="H155" s="9">
        <v>104.9</v>
      </c>
      <c r="I155" s="9">
        <v>69.3</v>
      </c>
      <c r="J155" s="9">
        <v>185.9</v>
      </c>
      <c r="K155" s="9">
        <v>3.2080000000000002</v>
      </c>
      <c r="L155" s="9">
        <v>17.899999999999999</v>
      </c>
      <c r="M155" s="9">
        <v>25</v>
      </c>
      <c r="N155" s="13"/>
      <c r="O155" s="14">
        <v>41237</v>
      </c>
      <c r="P155" s="9">
        <f t="shared" si="28"/>
        <v>2012</v>
      </c>
      <c r="Q155" s="9" t="str">
        <f t="shared" si="29"/>
        <v>Nov</v>
      </c>
      <c r="R155" s="9">
        <v>70.654495449999999</v>
      </c>
      <c r="S155" s="15">
        <f t="shared" si="30"/>
        <v>419.23749999999995</v>
      </c>
      <c r="T155" s="9" t="str">
        <f t="shared" si="31"/>
        <v>Mid-range</v>
      </c>
      <c r="U155" s="9" t="str">
        <f t="shared" si="32"/>
        <v>Incomplete</v>
      </c>
      <c r="V155" s="9">
        <f t="shared" si="33"/>
        <v>114</v>
      </c>
      <c r="W155" s="9">
        <f t="shared" si="34"/>
        <v>112</v>
      </c>
    </row>
    <row r="156" spans="1:23" x14ac:dyDescent="0.3">
      <c r="A156" s="9" t="s">
        <v>51</v>
      </c>
      <c r="B156" s="9" t="s">
        <v>242</v>
      </c>
      <c r="C156" s="9" t="s">
        <v>54</v>
      </c>
      <c r="D156" s="12">
        <v>17.530999999999999</v>
      </c>
      <c r="E156" s="13">
        <v>28.8</v>
      </c>
      <c r="F156" s="9">
        <v>2.4</v>
      </c>
      <c r="G156" s="9">
        <v>168</v>
      </c>
      <c r="H156" s="9">
        <v>104.9</v>
      </c>
      <c r="I156" s="9">
        <v>69.3</v>
      </c>
      <c r="J156" s="9">
        <v>186.2</v>
      </c>
      <c r="K156" s="9">
        <v>3.2589999999999999</v>
      </c>
      <c r="L156" s="9">
        <v>17.899999999999999</v>
      </c>
      <c r="M156" s="9">
        <v>25</v>
      </c>
      <c r="N156" s="13"/>
      <c r="O156" s="14">
        <v>40719</v>
      </c>
      <c r="P156" s="9">
        <f t="shared" si="28"/>
        <v>2011</v>
      </c>
      <c r="Q156" s="9" t="str">
        <f t="shared" si="29"/>
        <v>Jun</v>
      </c>
      <c r="R156" s="9">
        <v>71.1559776</v>
      </c>
      <c r="S156" s="15">
        <f t="shared" si="30"/>
        <v>504.89279999999997</v>
      </c>
      <c r="T156" s="9" t="str">
        <f t="shared" si="31"/>
        <v>Mid-range</v>
      </c>
      <c r="U156" s="9" t="str">
        <f t="shared" si="32"/>
        <v>Incomplete</v>
      </c>
      <c r="V156" s="9">
        <f t="shared" si="33"/>
        <v>106</v>
      </c>
      <c r="W156" s="9">
        <f t="shared" si="34"/>
        <v>100</v>
      </c>
    </row>
    <row r="157" spans="1:23" x14ac:dyDescent="0.3">
      <c r="A157" s="9" t="s">
        <v>51</v>
      </c>
      <c r="B157" s="9" t="s">
        <v>243</v>
      </c>
      <c r="C157" s="9" t="s">
        <v>54</v>
      </c>
      <c r="D157" s="12">
        <v>3.4929999999999999</v>
      </c>
      <c r="E157" s="13">
        <v>45.5</v>
      </c>
      <c r="F157" s="9">
        <v>2.2999999999999998</v>
      </c>
      <c r="G157" s="9">
        <v>236</v>
      </c>
      <c r="H157" s="9">
        <v>104.9</v>
      </c>
      <c r="I157" s="9">
        <v>71.5</v>
      </c>
      <c r="J157" s="9">
        <v>185.7</v>
      </c>
      <c r="K157" s="9">
        <v>3.601</v>
      </c>
      <c r="L157" s="9">
        <v>18.5</v>
      </c>
      <c r="M157" s="9">
        <v>23</v>
      </c>
      <c r="N157" s="13"/>
      <c r="O157" s="14">
        <v>40659</v>
      </c>
      <c r="P157" s="9">
        <f t="shared" si="28"/>
        <v>2011</v>
      </c>
      <c r="Q157" s="9" t="str">
        <f t="shared" si="29"/>
        <v>Apr</v>
      </c>
      <c r="R157" s="9">
        <v>101.6233572</v>
      </c>
      <c r="S157" s="15">
        <f t="shared" si="30"/>
        <v>158.9315</v>
      </c>
      <c r="T157" s="9" t="str">
        <f t="shared" si="31"/>
        <v>Luxury</v>
      </c>
      <c r="U157" s="9" t="str">
        <f t="shared" si="32"/>
        <v>Incomplete</v>
      </c>
      <c r="V157" s="9">
        <f t="shared" si="33"/>
        <v>146</v>
      </c>
      <c r="W157" s="9">
        <f t="shared" si="34"/>
        <v>137</v>
      </c>
    </row>
    <row r="158" spans="1:23" x14ac:dyDescent="0.3">
      <c r="A158" s="9" t="s">
        <v>51</v>
      </c>
      <c r="B158" s="9" t="s">
        <v>244</v>
      </c>
      <c r="C158" s="9" t="s">
        <v>54</v>
      </c>
      <c r="D158" s="12">
        <v>18.969000000000001</v>
      </c>
      <c r="E158" s="13">
        <v>36</v>
      </c>
      <c r="F158" s="9">
        <v>2.9</v>
      </c>
      <c r="G158" s="9">
        <v>201</v>
      </c>
      <c r="H158" s="9">
        <v>109.9</v>
      </c>
      <c r="I158" s="9">
        <v>72.099999999999994</v>
      </c>
      <c r="J158" s="9">
        <v>189.8</v>
      </c>
      <c r="K158" s="9">
        <v>3.6</v>
      </c>
      <c r="L158" s="9">
        <v>21.1</v>
      </c>
      <c r="M158" s="9">
        <v>24</v>
      </c>
      <c r="N158" s="13"/>
      <c r="O158" s="14">
        <v>40861</v>
      </c>
      <c r="P158" s="9">
        <f t="shared" si="28"/>
        <v>2011</v>
      </c>
      <c r="Q158" s="9" t="str">
        <f t="shared" si="29"/>
        <v>Nov</v>
      </c>
      <c r="R158" s="9">
        <v>85.735654510000003</v>
      </c>
      <c r="S158" s="15">
        <f t="shared" si="30"/>
        <v>682.88400000000001</v>
      </c>
      <c r="T158" s="9" t="str">
        <f t="shared" si="31"/>
        <v>Luxury</v>
      </c>
      <c r="U158" s="9" t="str">
        <f t="shared" si="32"/>
        <v>Incomplete</v>
      </c>
      <c r="V158" s="9">
        <f t="shared" si="33"/>
        <v>102</v>
      </c>
      <c r="W158" s="9">
        <f t="shared" si="34"/>
        <v>81</v>
      </c>
    </row>
  </sheetData>
  <conditionalFormatting sqref="D2:D158">
    <cfRule type="dataBar" priority="2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{D3527578-86A5-45CB-B4F3-57A12C67922F}</x14:id>
        </ext>
      </extLst>
    </cfRule>
  </conditionalFormatting>
  <conditionalFormatting sqref="S2:S158">
    <cfRule type="dataBar" priority="3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{E36FA222-2FBB-477C-A7DF-A7249FEAFE93}</x14:id>
        </ext>
      </extLst>
    </cfRule>
  </conditionalFormatting>
  <conditionalFormatting sqref="E2:E158">
    <cfRule type="colorScale" priority="4">
      <colorScale>
        <cfvo type="min"/>
        <cfvo type="max"/>
        <color rgb="FFC6EFCE"/>
        <color rgb="FFF8696B"/>
      </colorScale>
    </cfRule>
  </conditionalFormatting>
  <conditionalFormatting sqref="U2:U158">
    <cfRule type="cellIs" dxfId="0" priority="5" operator="equal">
      <formula>"Incomplete"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527578-86A5-45CB-B4F3-57A12C67922F}">
            <x14:dataBar axisPosition="none">
              <x14:cfvo type="min"/>
              <x14:cfvo type="max"/>
              <x14:negativeFillColor rgb="FF63BE7B"/>
            </x14:dataBar>
          </x14:cfRule>
          <xm:sqref>D2:D158</xm:sqref>
        </x14:conditionalFormatting>
        <x14:conditionalFormatting xmlns:xm="http://schemas.microsoft.com/office/excel/2006/main">
          <x14:cfRule type="dataBar" id="{E36FA222-2FBB-477C-A7DF-A7249FEAFE93}">
            <x14:dataBar axisPosition="none">
              <x14:cfvo type="min"/>
              <x14:cfvo type="max"/>
              <x14:negativeFillColor rgb="FF2E75B6"/>
            </x14:dataBar>
          </x14:cfRule>
          <xm:sqref>S2:S158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"/>
  <sheetViews>
    <sheetView showGridLines="0" topLeftCell="A4" zoomScale="50" zoomScaleNormal="50" workbookViewId="0">
      <selection activeCell="T5" sqref="T5"/>
    </sheetView>
  </sheetViews>
  <sheetFormatPr defaultColWidth="8.6640625" defaultRowHeight="14.4" x14ac:dyDescent="0.3"/>
  <cols>
    <col min="1" max="1" width="3" customWidth="1"/>
    <col min="2" max="17" width="13" customWidth="1"/>
  </cols>
  <sheetData>
    <row r="2" spans="2:16" x14ac:dyDescent="0.3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2:16" x14ac:dyDescent="0.3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5" spans="2:16" ht="19.5" customHeight="1" x14ac:dyDescent="0.3">
      <c r="B5" s="1" t="s">
        <v>1</v>
      </c>
      <c r="D5" s="2" t="s">
        <v>2</v>
      </c>
      <c r="F5" s="3"/>
    </row>
    <row r="7" spans="2:16" ht="21.75" customHeight="1" x14ac:dyDescent="0.3">
      <c r="B7" s="29" t="s">
        <v>3</v>
      </c>
      <c r="C7" s="29"/>
      <c r="D7" s="29" t="s">
        <v>4</v>
      </c>
      <c r="E7" s="29"/>
      <c r="F7" s="29" t="s">
        <v>5</v>
      </c>
      <c r="G7" s="29"/>
      <c r="H7" s="29" t="s">
        <v>6</v>
      </c>
      <c r="I7" s="29"/>
      <c r="J7" s="29" t="s">
        <v>7</v>
      </c>
      <c r="K7" s="29"/>
      <c r="L7" s="29" t="s">
        <v>8</v>
      </c>
      <c r="M7" s="29"/>
    </row>
    <row r="8" spans="2:16" ht="19.5" customHeight="1" x14ac:dyDescent="0.3">
      <c r="B8" s="30">
        <f>IF($D$5="All Brands",SUM('Cleaned Data'!$D:$D),SUMIFS('Cleaned Data'!$D:$D,'Cleaned Data'!$A:$A,$D$5))*1000</f>
        <v>8320698</v>
      </c>
      <c r="C8" s="30"/>
      <c r="D8" s="31">
        <f>IF($D$5="All Brands",SUM('Cleaned Data'!$S:$S),SUMIFS('Cleaned Data'!$S:$S,'Cleaned Data'!$A:$A,$D$5))</f>
        <v>179992.29687500006</v>
      </c>
      <c r="E8" s="31"/>
      <c r="F8" s="31">
        <f>IF($D$5="All Brands",AVERAGE('Cleaned Data'!$E:$E),AVERAGEIFS('Cleaned Data'!$E:$E,'Cleaned Data'!$A:$A,$D$5))</f>
        <v>27.390754838709661</v>
      </c>
      <c r="G8" s="31"/>
      <c r="H8" s="31">
        <f>IF($D$5="All Brands",MAX('Cleaned Data'!$E:$E),_xlfn.MAXIFS('Cleaned Data'!$E:$E,'Cleaned Data'!$A:$A,$D$5))</f>
        <v>85.5</v>
      </c>
      <c r="I8" s="31"/>
      <c r="J8" s="32">
        <f>IF($D$5="All Brands",AVERAGE('Cleaned Data'!$D:$D),AVERAGEIFS('Cleaned Data'!$D:$D,'Cleaned Data'!$A:$A,$D$5))</f>
        <v>52.998076433121021</v>
      </c>
      <c r="K8" s="32"/>
      <c r="L8" s="30">
        <f>IF($D$5="All Brands",SUMPRODUCT(1/COUNTIF('Cleaned Data'!$A$2:$A$158,'Cleaned Data'!$A$2:$A$158)),1)</f>
        <v>30.000000000000018</v>
      </c>
      <c r="M8" s="30"/>
    </row>
    <row r="9" spans="2:16" ht="19.5" customHeight="1" x14ac:dyDescent="0.3">
      <c r="B9" s="30"/>
      <c r="C9" s="30"/>
      <c r="D9" s="31"/>
      <c r="E9" s="31"/>
      <c r="F9" s="31"/>
      <c r="G9" s="31"/>
      <c r="H9" s="31"/>
      <c r="I9" s="31"/>
      <c r="J9" s="32"/>
      <c r="K9" s="32"/>
      <c r="L9" s="30"/>
      <c r="M9" s="30"/>
    </row>
    <row r="10" spans="2:16" x14ac:dyDescent="0.3">
      <c r="B10" s="4"/>
    </row>
  </sheetData>
  <mergeCells count="13">
    <mergeCell ref="L8:M9"/>
    <mergeCell ref="B8:C9"/>
    <mergeCell ref="D8:E9"/>
    <mergeCell ref="F8:G9"/>
    <mergeCell ref="H8:I9"/>
    <mergeCell ref="J8:K9"/>
    <mergeCell ref="B2:P3"/>
    <mergeCell ref="B7:C7"/>
    <mergeCell ref="D7:E7"/>
    <mergeCell ref="F7:G7"/>
    <mergeCell ref="H7:I7"/>
    <mergeCell ref="J7:K7"/>
    <mergeCell ref="L7:M7"/>
  </mergeCells>
  <dataValidations count="1">
    <dataValidation type="list" sqref="D5" xr:uid="{00000000-0002-0000-0000-000000000000}">
      <formula1>"All Brands,Acura,Audi,BMW,Buick,Cadillac,Chevrolet,Chrysler,Dodge,Ford,Honda,Hyundai,Infiniti,Jaguar,Jeep,Lexus,Lincoln,Mercedes-Benz,Mercury,Mitsubishi,Nissan,Oldsmobile,Plymouth,Pontiac,Porsche,Saab,Saturn,Subaru,Toyota,Volkswagen,Volvo"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6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" sqref="D2"/>
    </sheetView>
  </sheetViews>
  <sheetFormatPr defaultColWidth="8.6640625" defaultRowHeight="14.4" x14ac:dyDescent="0.3"/>
  <cols>
    <col min="1" max="1" width="3" customWidth="1"/>
    <col min="2" max="2" width="20" customWidth="1"/>
    <col min="3" max="3" width="22" customWidth="1"/>
    <col min="4" max="4" width="20" customWidth="1"/>
    <col min="5" max="5" width="18" customWidth="1"/>
    <col min="6" max="6" width="20" customWidth="1"/>
    <col min="7" max="7" width="22" customWidth="1"/>
    <col min="8" max="8" width="14" customWidth="1"/>
  </cols>
  <sheetData>
    <row r="2" spans="2:8" ht="19.2" x14ac:dyDescent="0.35">
      <c r="B2" s="6" t="s">
        <v>16</v>
      </c>
    </row>
    <row r="3" spans="2:8" x14ac:dyDescent="0.3">
      <c r="B3" s="7"/>
    </row>
    <row r="4" spans="2:8" ht="16.8" x14ac:dyDescent="0.3">
      <c r="B4" s="5" t="s">
        <v>17</v>
      </c>
    </row>
    <row r="5" spans="2:8" ht="27.6" x14ac:dyDescent="0.3">
      <c r="B5" s="8" t="s">
        <v>18</v>
      </c>
      <c r="C5" s="8" t="s">
        <v>403</v>
      </c>
      <c r="D5" s="8" t="s">
        <v>19</v>
      </c>
      <c r="E5" s="8" t="s">
        <v>402</v>
      </c>
      <c r="F5" s="8" t="s">
        <v>20</v>
      </c>
      <c r="G5" s="8" t="s">
        <v>404</v>
      </c>
      <c r="H5" s="8" t="s">
        <v>21</v>
      </c>
    </row>
    <row r="6" spans="2:8" x14ac:dyDescent="0.3">
      <c r="B6" s="9" t="s">
        <v>22</v>
      </c>
      <c r="C6" s="10">
        <f>SUMIFS('Cleaned Data'!$D:$D,'Cleaned Data'!$A:$A,$B6)</f>
        <v>79.004999999999995</v>
      </c>
      <c r="D6" s="11">
        <f>SUMIFS('Cleaned Data'!$S:$S,'Cleaned Data'!$A:$A,$B6)</f>
        <v>1842.9600999999998</v>
      </c>
      <c r="E6" s="11">
        <f>IFERROR(AVERAGEIFS('Cleaned Data'!$E:$E,'Cleaned Data'!$A:$A,$B6),0)</f>
        <v>30.633333333333336</v>
      </c>
      <c r="F6" s="9">
        <f>COUNTIFS('Cleaned Data'!$A:$A,$B6)</f>
        <v>4</v>
      </c>
      <c r="G6" s="11">
        <f>IFERROR(AVERAGEIFS('Cleaned Data'!$N:$N,'Cleaned Data'!$A:$A,$B6),0)</f>
        <v>21.046250000000001</v>
      </c>
      <c r="H6" s="9">
        <f t="shared" ref="H6:H35" si="0">RANK(D6,$D$6:$D$35)</f>
        <v>21</v>
      </c>
    </row>
    <row r="7" spans="2:8" x14ac:dyDescent="0.3">
      <c r="B7" s="9" t="s">
        <v>23</v>
      </c>
      <c r="C7" s="10">
        <f>SUMIFS('Cleaned Data'!$D:$D,'Cleaned Data'!$A:$A,$B7)</f>
        <v>40.557000000000002</v>
      </c>
      <c r="D7" s="11">
        <f>SUMIFS('Cleaned Data'!$S:$S,'Cleaned Data'!$A:$A,$B7)</f>
        <v>1212.4650300000001</v>
      </c>
      <c r="E7" s="11">
        <f>IFERROR(AVERAGEIFS('Cleaned Data'!$E:$E,'Cleaned Data'!$A:$A,$B7),0)</f>
        <v>39.979999999999997</v>
      </c>
      <c r="F7" s="9">
        <f>COUNTIFS('Cleaned Data'!$A:$A,$B7)</f>
        <v>3</v>
      </c>
      <c r="G7" s="11">
        <f>IFERROR(AVERAGEIFS('Cleaned Data'!$N:$N,'Cleaned Data'!$A:$A,$B7),0)</f>
        <v>28.27</v>
      </c>
      <c r="H7" s="9">
        <f t="shared" si="0"/>
        <v>25</v>
      </c>
    </row>
    <row r="8" spans="2:8" x14ac:dyDescent="0.3">
      <c r="B8" s="9" t="s">
        <v>24</v>
      </c>
      <c r="C8" s="10">
        <f>SUMIFS('Cleaned Data'!$D:$D,'Cleaned Data'!$A:$A,$B8)</f>
        <v>46.505000000000003</v>
      </c>
      <c r="D8" s="11">
        <f>SUMIFS('Cleaned Data'!$S:$S,'Cleaned Data'!$A:$A,$B8)</f>
        <v>1523.0872300000001</v>
      </c>
      <c r="E8" s="11">
        <f>IFERROR(AVERAGEIFS('Cleaned Data'!$E:$E,'Cleaned Data'!$A:$A,$B8),0)</f>
        <v>33.096666666666664</v>
      </c>
      <c r="F8" s="9">
        <f>COUNTIFS('Cleaned Data'!$A:$A,$B8)</f>
        <v>3</v>
      </c>
      <c r="G8" s="11">
        <f>IFERROR(AVERAGEIFS('Cleaned Data'!$N:$N,'Cleaned Data'!$A:$A,$B8),0)</f>
        <v>32.4</v>
      </c>
      <c r="H8" s="9">
        <f t="shared" si="0"/>
        <v>24</v>
      </c>
    </row>
    <row r="9" spans="2:8" x14ac:dyDescent="0.3">
      <c r="B9" s="9" t="s">
        <v>25</v>
      </c>
      <c r="C9" s="10">
        <f>SUMIFS('Cleaned Data'!$D:$D,'Cleaned Data'!$A:$A,$B9)</f>
        <v>242.01900000000001</v>
      </c>
      <c r="D9" s="11">
        <f>SUMIFS('Cleaned Data'!$S:$S,'Cleaned Data'!$A:$A,$B9)</f>
        <v>6219.4866350000011</v>
      </c>
      <c r="E9" s="11">
        <f>IFERROR(AVERAGEIFS('Cleaned Data'!$E:$E,'Cleaned Data'!$A:$A,$B9),0)</f>
        <v>26.781250000000004</v>
      </c>
      <c r="F9" s="9">
        <f>COUNTIFS('Cleaned Data'!$A:$A,$B9)</f>
        <v>4</v>
      </c>
      <c r="G9" s="11">
        <f>IFERROR(AVERAGEIFS('Cleaned Data'!$N:$N,'Cleaned Data'!$A:$A,$B9),0)</f>
        <v>14.94125</v>
      </c>
      <c r="H9" s="9">
        <f t="shared" si="0"/>
        <v>9</v>
      </c>
    </row>
    <row r="10" spans="2:8" x14ac:dyDescent="0.3">
      <c r="B10" s="9" t="s">
        <v>26</v>
      </c>
      <c r="C10" s="10">
        <f>SUMIFS('Cleaned Data'!$D:$D,'Cleaned Data'!$A:$A,$B10)</f>
        <v>112.178</v>
      </c>
      <c r="D10" s="11">
        <f>SUMIFS('Cleaned Data'!$S:$S,'Cleaned Data'!$A:$A,$B10)</f>
        <v>4541.0672949999998</v>
      </c>
      <c r="E10" s="11">
        <f>IFERROR(AVERAGEIFS('Cleaned Data'!$E:$E,'Cleaned Data'!$A:$A,$B10),0)</f>
        <v>40.253999999999998</v>
      </c>
      <c r="F10" s="9">
        <f>COUNTIFS('Cleaned Data'!$A:$A,$B10)</f>
        <v>5</v>
      </c>
      <c r="G10" s="11">
        <f>IFERROR(AVERAGEIFS('Cleaned Data'!$N:$N,'Cleaned Data'!$A:$A,$B10),0)</f>
        <v>23.393749999999997</v>
      </c>
      <c r="H10" s="9">
        <f t="shared" si="0"/>
        <v>12</v>
      </c>
    </row>
    <row r="11" spans="2:8" x14ac:dyDescent="0.3">
      <c r="B11" s="9" t="s">
        <v>27</v>
      </c>
      <c r="C11" s="10">
        <f>SUMIFS('Cleaned Data'!$D:$D,'Cleaned Data'!$A:$A,$B11)</f>
        <v>554.36500000000001</v>
      </c>
      <c r="D11" s="11">
        <f>SUMIFS('Cleaned Data'!$S:$S,'Cleaned Data'!$A:$A,$B11)</f>
        <v>9610.653260000001</v>
      </c>
      <c r="E11" s="11">
        <f>IFERROR(AVERAGEIFS('Cleaned Data'!$E:$E,'Cleaned Data'!$A:$A,$B11),0)</f>
        <v>20.022777777777776</v>
      </c>
      <c r="F11" s="9">
        <f>COUNTIFS('Cleaned Data'!$A:$A,$B11)</f>
        <v>9</v>
      </c>
      <c r="G11" s="11">
        <f>IFERROR(AVERAGEIFS('Cleaned Data'!$N:$N,'Cleaned Data'!$A:$A,$B11),0)</f>
        <v>13.230625</v>
      </c>
      <c r="H11" s="9">
        <f t="shared" si="0"/>
        <v>5</v>
      </c>
    </row>
    <row r="12" spans="2:8" x14ac:dyDescent="0.3">
      <c r="B12" s="9" t="s">
        <v>28</v>
      </c>
      <c r="C12" s="10">
        <f>SUMIFS('Cleaned Data'!$D:$D,'Cleaned Data'!$A:$A,$B12)</f>
        <v>201.721</v>
      </c>
      <c r="D12" s="11">
        <f>SUMIFS('Cleaned Data'!$S:$S,'Cleaned Data'!$A:$A,$B12)</f>
        <v>3461.3129650000001</v>
      </c>
      <c r="E12" s="11">
        <f>IFERROR(AVERAGEIFS('Cleaned Data'!$E:$E,'Cleaned Data'!$A:$A,$B12),0)</f>
        <v>23.430833333333336</v>
      </c>
      <c r="F12" s="9">
        <f>COUNTIFS('Cleaned Data'!$A:$A,$B12)</f>
        <v>7</v>
      </c>
      <c r="G12" s="11">
        <f>IFERROR(AVERAGEIFS('Cleaned Data'!$N:$N,'Cleaned Data'!$A:$A,$B12),0)</f>
        <v>14.961666666666668</v>
      </c>
      <c r="H12" s="9">
        <f t="shared" si="0"/>
        <v>18</v>
      </c>
    </row>
    <row r="13" spans="2:8" x14ac:dyDescent="0.3">
      <c r="B13" s="9" t="s">
        <v>29</v>
      </c>
      <c r="C13" s="10">
        <f>SUMIFS('Cleaned Data'!$D:$D,'Cleaned Data'!$A:$A,$B13)</f>
        <v>910.149</v>
      </c>
      <c r="D13" s="11">
        <f>SUMIFS('Cleaned Data'!$S:$S,'Cleaned Data'!$A:$A,$B13)</f>
        <v>18000.608379999998</v>
      </c>
      <c r="E13" s="11">
        <f>IFERROR(AVERAGEIFS('Cleaned Data'!$E:$E,'Cleaned Data'!$A:$A,$B13),0)</f>
        <v>24.213636363636361</v>
      </c>
      <c r="F13" s="9">
        <f>COUNTIFS('Cleaned Data'!$A:$A,$B13)</f>
        <v>11</v>
      </c>
      <c r="G13" s="11">
        <f>IFERROR(AVERAGEIFS('Cleaned Data'!$N:$N,'Cleaned Data'!$A:$A,$B13),0)</f>
        <v>16.8505</v>
      </c>
      <c r="H13" s="9">
        <f t="shared" si="0"/>
        <v>2</v>
      </c>
    </row>
    <row r="14" spans="2:8" x14ac:dyDescent="0.3">
      <c r="B14" s="9" t="s">
        <v>30</v>
      </c>
      <c r="C14" s="10">
        <f>SUMIFS('Cleaned Data'!$D:$D,'Cleaned Data'!$A:$A,$B14)</f>
        <v>2022.6350000000002</v>
      </c>
      <c r="D14" s="11">
        <f>SUMIFS('Cleaned Data'!$S:$S,'Cleaned Data'!$A:$A,$B14)</f>
        <v>45776.128864999999</v>
      </c>
      <c r="E14" s="11">
        <f>IFERROR(AVERAGEIFS('Cleaned Data'!$E:$E,'Cleaned Data'!$A:$A,$B14),0)</f>
        <v>21.047272727272727</v>
      </c>
      <c r="F14" s="9">
        <f>COUNTIFS('Cleaned Data'!$A:$A,$B14)</f>
        <v>11</v>
      </c>
      <c r="G14" s="11">
        <f>IFERROR(AVERAGEIFS('Cleaned Data'!$N:$N,'Cleaned Data'!$A:$A,$B14),0)</f>
        <v>12.959999999999999</v>
      </c>
      <c r="H14" s="9">
        <f t="shared" si="0"/>
        <v>1</v>
      </c>
    </row>
    <row r="15" spans="2:8" x14ac:dyDescent="0.3">
      <c r="B15" s="9" t="s">
        <v>31</v>
      </c>
      <c r="C15" s="10">
        <f>SUMIFS('Cleaned Data'!$D:$D,'Cleaned Data'!$A:$A,$B15)</f>
        <v>592.67399999999998</v>
      </c>
      <c r="D15" s="11">
        <f>SUMIFS('Cleaned Data'!$S:$S,'Cleaned Data'!$A:$A,$B15)</f>
        <v>9940.3055750000003</v>
      </c>
      <c r="E15" s="11">
        <f>IFERROR(AVERAGEIFS('Cleaned Data'!$E:$E,'Cleaned Data'!$A:$A,$B15),0)</f>
        <v>20.276999999999997</v>
      </c>
      <c r="F15" s="9">
        <f>COUNTIFS('Cleaned Data'!$A:$A,$B15)</f>
        <v>5</v>
      </c>
      <c r="G15" s="11">
        <f>IFERROR(AVERAGEIFS('Cleaned Data'!$N:$N,'Cleaned Data'!$A:$A,$B15),0)</f>
        <v>15.556999999999999</v>
      </c>
      <c r="H15" s="9">
        <f t="shared" si="0"/>
        <v>4</v>
      </c>
    </row>
    <row r="16" spans="2:8" x14ac:dyDescent="0.3">
      <c r="B16" s="9" t="s">
        <v>32</v>
      </c>
      <c r="C16" s="10">
        <f>SUMIFS('Cleaned Data'!$D:$D,'Cleaned Data'!$A:$A,$B16)</f>
        <v>137.32599999999999</v>
      </c>
      <c r="D16" s="11">
        <f>SUMIFS('Cleaned Data'!$S:$S,'Cleaned Data'!$A:$A,$B16)</f>
        <v>1628.0630739999999</v>
      </c>
      <c r="E16" s="11">
        <f>IFERROR(AVERAGEIFS('Cleaned Data'!$E:$E,'Cleaned Data'!$A:$A,$B16),0)</f>
        <v>12.165666666666667</v>
      </c>
      <c r="F16" s="9">
        <f>COUNTIFS('Cleaned Data'!$A:$A,$B16)</f>
        <v>3</v>
      </c>
      <c r="G16" s="11">
        <f>IFERROR(AVERAGEIFS('Cleaned Data'!$N:$N,'Cleaned Data'!$A:$A,$B16),0)</f>
        <v>7.5316666666666663</v>
      </c>
      <c r="H16" s="9">
        <f t="shared" si="0"/>
        <v>23</v>
      </c>
    </row>
    <row r="17" spans="2:8" x14ac:dyDescent="0.3">
      <c r="B17" s="9" t="s">
        <v>33</v>
      </c>
      <c r="C17" s="10">
        <f>SUMIFS('Cleaned Data'!$D:$D,'Cleaned Data'!$A:$A,$B17)</f>
        <v>23.713000000000001</v>
      </c>
      <c r="D17" s="11">
        <f>SUMIFS('Cleaned Data'!$S:$S,'Cleaned Data'!$A:$A,$B17)</f>
        <v>698.70354500000008</v>
      </c>
      <c r="E17" s="11">
        <f>IFERROR(AVERAGEIFS('Cleaned Data'!$E:$E,'Cleaned Data'!$A:$A,$B17),0)</f>
        <v>29.465</v>
      </c>
      <c r="F17" s="9">
        <f>COUNTIFS('Cleaned Data'!$A:$A,$B17)</f>
        <v>1</v>
      </c>
      <c r="G17" s="11">
        <f>IFERROR(AVERAGEIFS('Cleaned Data'!$N:$N,'Cleaned Data'!$A:$A,$B17),0)</f>
        <v>19.690000000000001</v>
      </c>
      <c r="H17" s="9">
        <f t="shared" si="0"/>
        <v>27</v>
      </c>
    </row>
    <row r="18" spans="2:8" x14ac:dyDescent="0.3">
      <c r="B18" s="9" t="s">
        <v>34</v>
      </c>
      <c r="C18" s="10">
        <f>SUMIFS('Cleaned Data'!$D:$D,'Cleaned Data'!$A:$A,$B18)</f>
        <v>15.467000000000001</v>
      </c>
      <c r="D18" s="11">
        <f>SUMIFS('Cleaned Data'!$S:$S,'Cleaned Data'!$A:$A,$B18)</f>
        <v>661.98759999999993</v>
      </c>
      <c r="E18" s="11">
        <f>IFERROR(AVERAGEIFS('Cleaned Data'!$E:$E,'Cleaned Data'!$A:$A,$B18),0)</f>
        <v>42.8</v>
      </c>
      <c r="F18" s="9">
        <f>COUNTIFS('Cleaned Data'!$A:$A,$B18)</f>
        <v>1</v>
      </c>
      <c r="G18" s="11">
        <f>IFERROR(AVERAGEIFS('Cleaned Data'!$N:$N,'Cleaned Data'!$A:$A,$B18),0)</f>
        <v>0</v>
      </c>
      <c r="H18" s="9">
        <f t="shared" si="0"/>
        <v>28</v>
      </c>
    </row>
    <row r="19" spans="2:8" x14ac:dyDescent="0.3">
      <c r="B19" s="9" t="s">
        <v>35</v>
      </c>
      <c r="C19" s="10">
        <f>SUMIFS('Cleaned Data'!$D:$D,'Cleaned Data'!$A:$A,$B19)</f>
        <v>293.15300000000002</v>
      </c>
      <c r="D19" s="11">
        <f>SUMIFS('Cleaned Data'!$S:$S,'Cleaned Data'!$A:$A,$B19)</f>
        <v>6768.56574</v>
      </c>
      <c r="E19" s="11">
        <f>IFERROR(AVERAGEIFS('Cleaned Data'!$E:$E,'Cleaned Data'!$A:$A,$B19),0)</f>
        <v>20.991666666666664</v>
      </c>
      <c r="F19" s="9">
        <f>COUNTIFS('Cleaned Data'!$A:$A,$B19)</f>
        <v>3</v>
      </c>
      <c r="G19" s="11">
        <f>IFERROR(AVERAGEIFS('Cleaned Data'!$N:$N,'Cleaned Data'!$A:$A,$B19),0)</f>
        <v>15.353333333333333</v>
      </c>
      <c r="H19" s="9">
        <f t="shared" si="0"/>
        <v>8</v>
      </c>
    </row>
    <row r="20" spans="2:8" x14ac:dyDescent="0.3">
      <c r="B20" s="9" t="s">
        <v>36</v>
      </c>
      <c r="C20" s="10">
        <f>SUMIFS('Cleaned Data'!$D:$D,'Cleaned Data'!$A:$A,$B20)</f>
        <v>106.84299999999999</v>
      </c>
      <c r="D20" s="11">
        <f>SUMIFS('Cleaned Data'!$S:$S,'Cleaned Data'!$A:$A,$B20)</f>
        <v>4058.7082149999997</v>
      </c>
      <c r="E20" s="11">
        <f>IFERROR(AVERAGEIFS('Cleaned Data'!$E:$E,'Cleaned Data'!$A:$A,$B20),0)</f>
        <v>44.055</v>
      </c>
      <c r="F20" s="9">
        <f>COUNTIFS('Cleaned Data'!$A:$A,$B20)</f>
        <v>6</v>
      </c>
      <c r="G20" s="11">
        <f>IFERROR(AVERAGEIFS('Cleaned Data'!$N:$N,'Cleaned Data'!$A:$A,$B20),0)</f>
        <v>33.141666666666673</v>
      </c>
      <c r="H20" s="9">
        <f t="shared" si="0"/>
        <v>14</v>
      </c>
    </row>
    <row r="21" spans="2:8" x14ac:dyDescent="0.3">
      <c r="B21" s="9" t="s">
        <v>37</v>
      </c>
      <c r="C21" s="10">
        <f>SUMIFS('Cleaned Data'!$D:$D,'Cleaned Data'!$A:$A,$B21)</f>
        <v>85.634</v>
      </c>
      <c r="D21" s="11">
        <f>SUMIFS('Cleaned Data'!$S:$S,'Cleaned Data'!$A:$A,$B21)</f>
        <v>3636.5199700000003</v>
      </c>
      <c r="E21" s="11">
        <f>IFERROR(AVERAGEIFS('Cleaned Data'!$E:$E,'Cleaned Data'!$A:$A,$B21),0)</f>
        <v>41.69</v>
      </c>
      <c r="F21" s="9">
        <f>COUNTIFS('Cleaned Data'!$A:$A,$B21)</f>
        <v>3</v>
      </c>
      <c r="G21" s="11">
        <f>IFERROR(AVERAGEIFS('Cleaned Data'!$N:$N,'Cleaned Data'!$A:$A,$B21),0)</f>
        <v>21.125</v>
      </c>
      <c r="H21" s="9">
        <f t="shared" si="0"/>
        <v>16</v>
      </c>
    </row>
    <row r="22" spans="2:8" x14ac:dyDescent="0.3">
      <c r="B22" s="9" t="s">
        <v>38</v>
      </c>
      <c r="C22" s="10">
        <f>SUMIFS('Cleaned Data'!$D:$D,'Cleaned Data'!$A:$A,$B22)</f>
        <v>117.125</v>
      </c>
      <c r="D22" s="11">
        <f>SUMIFS('Cleaned Data'!$S:$S,'Cleaned Data'!$A:$A,$B22)</f>
        <v>5364.2574000000004</v>
      </c>
      <c r="E22" s="11">
        <f>IFERROR(AVERAGEIFS('Cleaned Data'!$E:$E,'Cleaned Data'!$A:$A,$B22),0)</f>
        <v>52.916666666666671</v>
      </c>
      <c r="F22" s="9">
        <f>COUNTIFS('Cleaned Data'!$A:$A,$B22)</f>
        <v>9</v>
      </c>
      <c r="G22" s="11">
        <f>IFERROR(AVERAGEIFS('Cleaned Data'!$N:$N,'Cleaned Data'!$A:$A,$B22),0)</f>
        <v>44.118749999999999</v>
      </c>
      <c r="H22" s="9">
        <f t="shared" si="0"/>
        <v>10</v>
      </c>
    </row>
    <row r="23" spans="2:8" x14ac:dyDescent="0.3">
      <c r="B23" s="9" t="s">
        <v>39</v>
      </c>
      <c r="C23" s="10">
        <f>SUMIFS('Cleaned Data'!$D:$D,'Cleaned Data'!$A:$A,$B23)</f>
        <v>237.99900000000002</v>
      </c>
      <c r="D23" s="11">
        <f>SUMIFS('Cleaned Data'!$S:$S,'Cleaned Data'!$A:$A,$B23)</f>
        <v>5019.9884700000011</v>
      </c>
      <c r="E23" s="11">
        <f>IFERROR(AVERAGEIFS('Cleaned Data'!$E:$E,'Cleaned Data'!$A:$A,$B23),0)</f>
        <v>20.748333333333335</v>
      </c>
      <c r="F23" s="9">
        <f>COUNTIFS('Cleaned Data'!$A:$A,$B23)</f>
        <v>6</v>
      </c>
      <c r="G23" s="11">
        <f>IFERROR(AVERAGEIFS('Cleaned Data'!$N:$N,'Cleaned Data'!$A:$A,$B23),0)</f>
        <v>13.97</v>
      </c>
      <c r="H23" s="9">
        <f t="shared" si="0"/>
        <v>11</v>
      </c>
    </row>
    <row r="24" spans="2:8" x14ac:dyDescent="0.3">
      <c r="B24" s="9" t="s">
        <v>40</v>
      </c>
      <c r="C24" s="10">
        <f>SUMIFS('Cleaned Data'!$D:$D,'Cleaned Data'!$A:$A,$B24)</f>
        <v>180.89499999999998</v>
      </c>
      <c r="D24" s="11">
        <f>SUMIFS('Cleaned Data'!$S:$S,'Cleaned Data'!$A:$A,$B24)</f>
        <v>3535.0580449999998</v>
      </c>
      <c r="E24" s="11">
        <f>IFERROR(AVERAGEIFS('Cleaned Data'!$E:$E,'Cleaned Data'!$A:$A,$B24),0)</f>
        <v>22.167428571428577</v>
      </c>
      <c r="F24" s="9">
        <f>COUNTIFS('Cleaned Data'!$A:$A,$B24)</f>
        <v>7</v>
      </c>
      <c r="G24" s="11">
        <f>IFERROR(AVERAGEIFS('Cleaned Data'!$N:$N,'Cleaned Data'!$A:$A,$B24),0)</f>
        <v>14.262142857142857</v>
      </c>
      <c r="H24" s="9">
        <f t="shared" si="0"/>
        <v>17</v>
      </c>
    </row>
    <row r="25" spans="2:8" x14ac:dyDescent="0.3">
      <c r="B25" s="9" t="s">
        <v>41</v>
      </c>
      <c r="C25" s="10">
        <f>SUMIFS('Cleaned Data'!$D:$D,'Cleaned Data'!$A:$A,$B25)</f>
        <v>399.63499999999999</v>
      </c>
      <c r="D25" s="11">
        <f>SUMIFS('Cleaned Data'!$S:$S,'Cleaned Data'!$A:$A,$B25)</f>
        <v>8833.9031240000004</v>
      </c>
      <c r="E25" s="11">
        <f>IFERROR(AVERAGEIFS('Cleaned Data'!$E:$E,'Cleaned Data'!$A:$A,$B25),0)</f>
        <v>22.360714285714291</v>
      </c>
      <c r="F25" s="9">
        <f>COUNTIFS('Cleaned Data'!$A:$A,$B25)</f>
        <v>7</v>
      </c>
      <c r="G25" s="11">
        <f>IFERROR(AVERAGEIFS('Cleaned Data'!$N:$N,'Cleaned Data'!$A:$A,$B25),0)</f>
        <v>13.612</v>
      </c>
      <c r="H25" s="9">
        <f t="shared" si="0"/>
        <v>6</v>
      </c>
    </row>
    <row r="26" spans="2:8" x14ac:dyDescent="0.3">
      <c r="B26" s="9" t="s">
        <v>42</v>
      </c>
      <c r="C26" s="10">
        <f>SUMIFS('Cleaned Data'!$D:$D,'Cleaned Data'!$A:$A,$B26)</f>
        <v>178.98899999999998</v>
      </c>
      <c r="D26" s="11">
        <f>SUMIFS('Cleaned Data'!$S:$S,'Cleaned Data'!$A:$A,$B26)</f>
        <v>4199.6459109999996</v>
      </c>
      <c r="E26" s="11">
        <f>IFERROR(AVERAGEIFS('Cleaned Data'!$E:$E,'Cleaned Data'!$A:$A,$B26),0)</f>
        <v>25.622833333333332</v>
      </c>
      <c r="F26" s="9">
        <f>COUNTIFS('Cleaned Data'!$A:$A,$B26)</f>
        <v>6</v>
      </c>
      <c r="G26" s="11">
        <f>IFERROR(AVERAGEIFS('Cleaned Data'!$N:$N,'Cleaned Data'!$A:$A,$B26),0)</f>
        <v>16.57375</v>
      </c>
      <c r="H26" s="9">
        <f t="shared" si="0"/>
        <v>13</v>
      </c>
    </row>
    <row r="27" spans="2:8" x14ac:dyDescent="0.3">
      <c r="B27" s="9" t="s">
        <v>43</v>
      </c>
      <c r="C27" s="10">
        <f>SUMIFS('Cleaned Data'!$D:$D,'Cleaned Data'!$A:$A,$B27)</f>
        <v>64.001000000000005</v>
      </c>
      <c r="D27" s="11">
        <f>SUMIFS('Cleaned Data'!$S:$S,'Cleaned Data'!$A:$A,$B27)</f>
        <v>1033.8347100000001</v>
      </c>
      <c r="E27" s="11">
        <f>IFERROR(AVERAGEIFS('Cleaned Data'!$E:$E,'Cleaned Data'!$A:$A,$B27),0)</f>
        <v>22.642499999999998</v>
      </c>
      <c r="F27" s="9">
        <f>COUNTIFS('Cleaned Data'!$A:$A,$B27)</f>
        <v>4</v>
      </c>
      <c r="G27" s="11">
        <f>IFERROR(AVERAGEIFS('Cleaned Data'!$N:$N,'Cleaned Data'!$A:$A,$B27),0)</f>
        <v>9.8583333333333343</v>
      </c>
      <c r="H27" s="9">
        <f t="shared" si="0"/>
        <v>26</v>
      </c>
    </row>
    <row r="28" spans="2:8" x14ac:dyDescent="0.3">
      <c r="B28" s="9" t="s">
        <v>44</v>
      </c>
      <c r="C28" s="10">
        <f>SUMIFS('Cleaned Data'!$D:$D,'Cleaned Data'!$A:$A,$B28)</f>
        <v>370.53400000000005</v>
      </c>
      <c r="D28" s="11">
        <f>SUMIFS('Cleaned Data'!$S:$S,'Cleaned Data'!$A:$A,$B28)</f>
        <v>8074.5964549999999</v>
      </c>
      <c r="E28" s="11">
        <f>IFERROR(AVERAGEIFS('Cleaned Data'!$E:$E,'Cleaned Data'!$A:$A,$B28),0)</f>
        <v>22.949166666666667</v>
      </c>
      <c r="F28" s="9">
        <f>COUNTIFS('Cleaned Data'!$A:$A,$B28)</f>
        <v>6</v>
      </c>
      <c r="G28" s="11">
        <f>IFERROR(AVERAGEIFS('Cleaned Data'!$N:$N,'Cleaned Data'!$A:$A,$B28),0)</f>
        <v>13.823999999999998</v>
      </c>
      <c r="H28" s="9">
        <f t="shared" si="0"/>
        <v>7</v>
      </c>
    </row>
    <row r="29" spans="2:8" x14ac:dyDescent="0.3">
      <c r="B29" s="9" t="s">
        <v>45</v>
      </c>
      <c r="C29" s="10">
        <f>SUMIFS('Cleaned Data'!$D:$D,'Cleaned Data'!$A:$A,$B29)</f>
        <v>12.127999999999998</v>
      </c>
      <c r="D29" s="11">
        <f>SUMIFS('Cleaned Data'!$S:$S,'Cleaned Data'!$A:$A,$B29)</f>
        <v>602.92388000000005</v>
      </c>
      <c r="E29" s="11">
        <f>IFERROR(AVERAGEIFS('Cleaned Data'!$E:$E,'Cleaned Data'!$A:$A,$B29),0)</f>
        <v>62.473333333333329</v>
      </c>
      <c r="F29" s="9">
        <f>COUNTIFS('Cleaned Data'!$A:$A,$B29)</f>
        <v>3</v>
      </c>
      <c r="G29" s="11">
        <f>IFERROR(AVERAGEIFS('Cleaned Data'!$N:$N,'Cleaned Data'!$A:$A,$B29),0)</f>
        <v>56.475000000000001</v>
      </c>
      <c r="H29" s="9">
        <f t="shared" si="0"/>
        <v>30</v>
      </c>
    </row>
    <row r="30" spans="2:8" x14ac:dyDescent="0.3">
      <c r="B30" s="9" t="s">
        <v>46</v>
      </c>
      <c r="C30" s="10">
        <f>SUMIFS('Cleaned Data'!$D:$D,'Cleaned Data'!$A:$A,$B30)</f>
        <v>21.306000000000001</v>
      </c>
      <c r="D30" s="11">
        <f>SUMIFS('Cleaned Data'!$S:$S,'Cleaned Data'!$A:$A,$B30)</f>
        <v>620.60742000000005</v>
      </c>
      <c r="E30" s="11">
        <f>IFERROR(AVERAGEIFS('Cleaned Data'!$E:$E,'Cleaned Data'!$A:$A,$B30),0)</f>
        <v>29.61</v>
      </c>
      <c r="F30" s="9">
        <f>COUNTIFS('Cleaned Data'!$A:$A,$B30)</f>
        <v>2</v>
      </c>
      <c r="G30" s="11">
        <f>IFERROR(AVERAGEIFS('Cleaned Data'!$N:$N,'Cleaned Data'!$A:$A,$B30),0)</f>
        <v>0</v>
      </c>
      <c r="H30" s="9">
        <f t="shared" si="0"/>
        <v>29</v>
      </c>
    </row>
    <row r="31" spans="2:8" x14ac:dyDescent="0.3">
      <c r="B31" s="9" t="s">
        <v>47</v>
      </c>
      <c r="C31" s="10">
        <f>SUMIFS('Cleaned Data'!$D:$D,'Cleaned Data'!$A:$A,$B31)</f>
        <v>168.85</v>
      </c>
      <c r="D31" s="11">
        <f>SUMIFS('Cleaned Data'!$S:$S,'Cleaned Data'!$A:$A,$B31)</f>
        <v>2153.6504900000004</v>
      </c>
      <c r="E31" s="11">
        <f>IFERROR(AVERAGEIFS('Cleaned Data'!$E:$E,'Cleaned Data'!$A:$A,$B31),0)</f>
        <v>14.271000000000001</v>
      </c>
      <c r="F31" s="9">
        <f>COUNTIFS('Cleaned Data'!$A:$A,$B31)</f>
        <v>5</v>
      </c>
      <c r="G31" s="11">
        <f>IFERROR(AVERAGEIFS('Cleaned Data'!$N:$N,'Cleaned Data'!$A:$A,$B31),0)</f>
        <v>10.193333333333333</v>
      </c>
      <c r="H31" s="9">
        <f t="shared" si="0"/>
        <v>20</v>
      </c>
    </row>
    <row r="32" spans="2:8" x14ac:dyDescent="0.3">
      <c r="B32" s="9" t="s">
        <v>48</v>
      </c>
      <c r="C32" s="10">
        <f>SUMIFS('Cleaned Data'!$D:$D,'Cleaned Data'!$A:$A,$B32)</f>
        <v>80.134999999999991</v>
      </c>
      <c r="D32" s="11">
        <f>SUMIFS('Cleaned Data'!$S:$S,'Cleaned Data'!$A:$A,$B32)</f>
        <v>1732.791025</v>
      </c>
      <c r="E32" s="11">
        <f>IFERROR(AVERAGEIFS('Cleaned Data'!$E:$E,'Cleaned Data'!$A:$A,$B32),0)</f>
        <v>21.395</v>
      </c>
      <c r="F32" s="9">
        <f>COUNTIFS('Cleaned Data'!$A:$A,$B32)</f>
        <v>2</v>
      </c>
      <c r="G32" s="11">
        <f>IFERROR(AVERAGEIFS('Cleaned Data'!$N:$N,'Cleaned Data'!$A:$A,$B32),0)</f>
        <v>0</v>
      </c>
      <c r="H32" s="9">
        <f t="shared" si="0"/>
        <v>22</v>
      </c>
    </row>
    <row r="33" spans="2:8" x14ac:dyDescent="0.3">
      <c r="B33" s="9" t="s">
        <v>49</v>
      </c>
      <c r="C33" s="10">
        <f>SUMIFS('Cleaned Data'!$D:$D,'Cleaned Data'!$A:$A,$B33)</f>
        <v>740.20500000000015</v>
      </c>
      <c r="D33" s="11">
        <f>SUMIFS('Cleaned Data'!$S:$S,'Cleaned Data'!$A:$A,$B33)</f>
        <v>13288.560856</v>
      </c>
      <c r="E33" s="11">
        <f>IFERROR(AVERAGEIFS('Cleaned Data'!$E:$E,'Cleaned Data'!$A:$A,$B33),0)</f>
        <v>21.982888888888894</v>
      </c>
      <c r="F33" s="9">
        <f>COUNTIFS('Cleaned Data'!$A:$A,$B33)</f>
        <v>9</v>
      </c>
      <c r="G33" s="11">
        <f>IFERROR(AVERAGEIFS('Cleaned Data'!$N:$N,'Cleaned Data'!$A:$A,$B33),0)</f>
        <v>16.657499999999999</v>
      </c>
      <c r="H33" s="9">
        <f t="shared" si="0"/>
        <v>3</v>
      </c>
    </row>
    <row r="34" spans="2:8" x14ac:dyDescent="0.3">
      <c r="B34" s="9" t="s">
        <v>50</v>
      </c>
      <c r="C34" s="10">
        <f>SUMIFS('Cleaned Data'!$D:$D,'Cleaned Data'!$A:$A,$B34)</f>
        <v>209.21199999999999</v>
      </c>
      <c r="D34" s="11">
        <f>SUMIFS('Cleaned Data'!$S:$S,'Cleaned Data'!$A:$A,$B34)</f>
        <v>3702.6180100000001</v>
      </c>
      <c r="E34" s="11">
        <f>IFERROR(AVERAGEIFS('Cleaned Data'!$E:$E,'Cleaned Data'!$A:$A,$B34),0)</f>
        <v>17.698333333333334</v>
      </c>
      <c r="F34" s="9">
        <f>COUNTIFS('Cleaned Data'!$A:$A,$B34)</f>
        <v>6</v>
      </c>
      <c r="G34" s="11">
        <f>IFERROR(AVERAGEIFS('Cleaned Data'!$N:$N,'Cleaned Data'!$A:$A,$B34),0)</f>
        <v>14.345000000000002</v>
      </c>
      <c r="H34" s="9">
        <f t="shared" si="0"/>
        <v>15</v>
      </c>
    </row>
    <row r="35" spans="2:8" x14ac:dyDescent="0.3">
      <c r="B35" s="9" t="s">
        <v>51</v>
      </c>
      <c r="C35" s="10">
        <f>SUMIFS('Cleaned Data'!$D:$D,'Cleaned Data'!$A:$A,$B35)</f>
        <v>75.740000000000009</v>
      </c>
      <c r="D35" s="11">
        <f>SUMIFS('Cleaned Data'!$S:$S,'Cleaned Data'!$A:$A,$B35)</f>
        <v>2249.2375999999995</v>
      </c>
      <c r="E35" s="11">
        <f>IFERROR(AVERAGEIFS('Cleaned Data'!$E:$E,'Cleaned Data'!$A:$A,$B35),0)</f>
        <v>30.933333333333334</v>
      </c>
      <c r="F35" s="9">
        <f>COUNTIFS('Cleaned Data'!$A:$A,$B35)</f>
        <v>6</v>
      </c>
      <c r="G35" s="11">
        <f>IFERROR(AVERAGEIFS('Cleaned Data'!$N:$N,'Cleaned Data'!$A:$A,$B35),0)</f>
        <v>0</v>
      </c>
      <c r="H35" s="9">
        <f t="shared" si="0"/>
        <v>19</v>
      </c>
    </row>
    <row r="38" spans="2:8" ht="16.8" x14ac:dyDescent="0.3">
      <c r="B38" s="5" t="s">
        <v>52</v>
      </c>
    </row>
    <row r="39" spans="2:8" x14ac:dyDescent="0.3">
      <c r="B39" s="8" t="s">
        <v>53</v>
      </c>
      <c r="C39" s="8" t="s">
        <v>401</v>
      </c>
      <c r="D39" s="8" t="s">
        <v>19</v>
      </c>
      <c r="E39" s="8" t="s">
        <v>402</v>
      </c>
      <c r="F39" s="8" t="s">
        <v>20</v>
      </c>
    </row>
    <row r="40" spans="2:8" x14ac:dyDescent="0.3">
      <c r="B40" s="9" t="s">
        <v>54</v>
      </c>
      <c r="C40" s="10">
        <f>SUMIFS('Cleaned Data'!$D:$D,'Cleaned Data'!$C:$C,$B40)</f>
        <v>5015.1840000000002</v>
      </c>
      <c r="D40" s="11">
        <f>SUMIFS('Cleaned Data'!$S:$S,'Cleaned Data'!$C:$C,$B40)</f>
        <v>101911.21787499997</v>
      </c>
      <c r="E40" s="11">
        <f>IFERROR(AVERAGEIFS('Cleaned Data'!$E:$E,'Cleaned Data'!$C:$C,$B40),0)</f>
        <v>27.763199999999994</v>
      </c>
      <c r="F40" s="9">
        <f>COUNTIFS('Cleaned Data'!$C:$C,$B40)</f>
        <v>116</v>
      </c>
    </row>
    <row r="41" spans="2:8" x14ac:dyDescent="0.3">
      <c r="B41" s="9" t="s">
        <v>55</v>
      </c>
      <c r="C41" s="10">
        <f>SUMIFS('Cleaned Data'!$D:$D,'Cleaned Data'!$C:$C,$B41)</f>
        <v>3305.5140000000006</v>
      </c>
      <c r="D41" s="11">
        <f>SUMIFS('Cleaned Data'!$S:$S,'Cleaned Data'!$C:$C,$B41)</f>
        <v>78081.079000000012</v>
      </c>
      <c r="E41" s="11">
        <f>IFERROR(AVERAGEIFS('Cleaned Data'!$E:$E,'Cleaned Data'!$C:$C,$B41),0)</f>
        <v>26.319974999999999</v>
      </c>
      <c r="F41" s="9">
        <f>COUNTIFS('Cleaned Data'!$C:$C,$B41)</f>
        <v>41</v>
      </c>
    </row>
    <row r="43" spans="2:8" ht="16.8" x14ac:dyDescent="0.3">
      <c r="B43" s="5" t="s">
        <v>56</v>
      </c>
    </row>
    <row r="44" spans="2:8" x14ac:dyDescent="0.3">
      <c r="B44" s="8" t="s">
        <v>57</v>
      </c>
      <c r="C44" s="8" t="s">
        <v>401</v>
      </c>
      <c r="D44" s="8" t="s">
        <v>19</v>
      </c>
      <c r="E44" s="8" t="s">
        <v>402</v>
      </c>
      <c r="F44" s="8" t="s">
        <v>20</v>
      </c>
    </row>
    <row r="45" spans="2:8" x14ac:dyDescent="0.3">
      <c r="B45" s="9" t="s">
        <v>58</v>
      </c>
      <c r="C45" s="10">
        <f>SUMIFS('Cleaned Data'!$D:$D,'Cleaned Data'!$T:$T,$B45)</f>
        <v>1583.203</v>
      </c>
      <c r="D45" s="11">
        <f>SUMIFS('Cleaned Data'!$S:$S,'Cleaned Data'!$T:$T,$B45)</f>
        <v>19800.774321000001</v>
      </c>
      <c r="E45" s="11">
        <f>IFERROR(AVERAGEIFS('Cleaned Data'!$E:$E,'Cleaned Data'!$T:$T,$B45),0)</f>
        <v>12.692571428571428</v>
      </c>
      <c r="F45" s="9">
        <f>COUNTIFS('Cleaned Data'!$T:$T,$B45)</f>
        <v>21</v>
      </c>
    </row>
    <row r="46" spans="2:8" x14ac:dyDescent="0.3">
      <c r="B46" s="9" t="s">
        <v>59</v>
      </c>
      <c r="C46" s="10">
        <f>SUMIFS('Cleaned Data'!$D:$D,'Cleaned Data'!$T:$T,$B46)</f>
        <v>5626.8169999999991</v>
      </c>
      <c r="D46" s="11">
        <f>SUMIFS('Cleaned Data'!$S:$S,'Cleaned Data'!$T:$T,$B46)</f>
        <v>120851.33276899999</v>
      </c>
      <c r="E46" s="11">
        <f>IFERROR(AVERAGEIFS('Cleaned Data'!$E:$E,'Cleaned Data'!$T:$T,$B46),0)</f>
        <v>21.878550561797756</v>
      </c>
      <c r="F46" s="9">
        <f>COUNTIFS('Cleaned Data'!$T:$T,$B46)</f>
        <v>89</v>
      </c>
    </row>
    <row r="47" spans="2:8" x14ac:dyDescent="0.3">
      <c r="B47" s="9" t="s">
        <v>60</v>
      </c>
      <c r="C47" s="10">
        <f>SUMIFS('Cleaned Data'!$D:$D,'Cleaned Data'!$T:$T,$B47)</f>
        <v>1043.0840000000001</v>
      </c>
      <c r="D47" s="11">
        <f>SUMIFS('Cleaned Data'!$S:$S,'Cleaned Data'!$T:$T,$B47)</f>
        <v>39340.189784999995</v>
      </c>
      <c r="E47" s="11">
        <f>IFERROR(AVERAGEIFS('Cleaned Data'!$E:$E,'Cleaned Data'!$T:$T,$B47),0)</f>
        <v>45.151822222222222</v>
      </c>
      <c r="F47" s="9">
        <f>COUNTIFS('Cleaned Data'!$T:$T,$B47)</f>
        <v>45</v>
      </c>
    </row>
    <row r="49" spans="2:6" ht="16.8" x14ac:dyDescent="0.3">
      <c r="B49" s="5" t="s">
        <v>61</v>
      </c>
    </row>
    <row r="50" spans="2:6" ht="27.6" x14ac:dyDescent="0.3">
      <c r="B50" s="8" t="s">
        <v>62</v>
      </c>
      <c r="C50" s="8" t="s">
        <v>401</v>
      </c>
      <c r="D50" s="8" t="s">
        <v>19</v>
      </c>
      <c r="E50" s="8" t="s">
        <v>20</v>
      </c>
    </row>
    <row r="51" spans="2:6" x14ac:dyDescent="0.3">
      <c r="B51" s="9">
        <v>2008</v>
      </c>
      <c r="C51" s="10">
        <f>SUMIFS('Cleaned Data'!$D:$D,'Cleaned Data'!$P:$P,$B51)</f>
        <v>27.609000000000002</v>
      </c>
      <c r="D51" s="11">
        <f>SUMIFS('Cleaned Data'!$S:$S,'Cleaned Data'!$P:$P,$B51)</f>
        <v>760.90404000000001</v>
      </c>
      <c r="E51" s="9">
        <f>COUNTIFS('Cleaned Data'!$P:$P,$B51)</f>
        <v>1</v>
      </c>
    </row>
    <row r="52" spans="2:6" x14ac:dyDescent="0.3">
      <c r="B52" s="9">
        <v>2009</v>
      </c>
      <c r="C52" s="10">
        <f>SUMIFS('Cleaned Data'!$D:$D,'Cleaned Data'!$P:$P,$B52)</f>
        <v>100.63499999999999</v>
      </c>
      <c r="D52" s="11">
        <f>SUMIFS('Cleaned Data'!$S:$S,'Cleaned Data'!$P:$P,$B52)</f>
        <v>1925.0126499999999</v>
      </c>
      <c r="E52" s="9">
        <f>COUNTIFS('Cleaned Data'!$P:$P,$B52)</f>
        <v>2</v>
      </c>
    </row>
    <row r="53" spans="2:6" x14ac:dyDescent="0.3">
      <c r="B53" s="9">
        <v>2011</v>
      </c>
      <c r="C53" s="10">
        <f>SUMIFS('Cleaned Data'!$D:$D,'Cleaned Data'!$P:$P,$B53)</f>
        <v>3717.4050000000007</v>
      </c>
      <c r="D53" s="11">
        <f>SUMIFS('Cleaned Data'!$S:$S,'Cleaned Data'!$P:$P,$B53)</f>
        <v>75978.50920200003</v>
      </c>
      <c r="E53" s="9">
        <f>COUNTIFS('Cleaned Data'!$P:$P,$B53)</f>
        <v>79</v>
      </c>
    </row>
    <row r="54" spans="2:6" x14ac:dyDescent="0.3">
      <c r="B54" s="9">
        <v>2012</v>
      </c>
      <c r="C54" s="10">
        <f>SUMIFS('Cleaned Data'!$D:$D,'Cleaned Data'!$P:$P,$B54)</f>
        <v>4475.0489999999991</v>
      </c>
      <c r="D54" s="11">
        <f>SUMIFS('Cleaned Data'!$S:$S,'Cleaned Data'!$P:$P,$B54)</f>
        <v>101327.87098299996</v>
      </c>
      <c r="E54" s="9">
        <f>COUNTIFS('Cleaned Data'!$P:$P,$B54)</f>
        <v>75</v>
      </c>
    </row>
    <row r="56" spans="2:6" ht="16.8" x14ac:dyDescent="0.3">
      <c r="B56" s="5" t="s">
        <v>63</v>
      </c>
    </row>
    <row r="57" spans="2:6" x14ac:dyDescent="0.3">
      <c r="B57" s="8" t="s">
        <v>64</v>
      </c>
      <c r="C57" s="8" t="s">
        <v>65</v>
      </c>
      <c r="D57" s="8" t="s">
        <v>66</v>
      </c>
      <c r="E57" s="8" t="s">
        <v>405</v>
      </c>
      <c r="F57" s="8" t="s">
        <v>67</v>
      </c>
    </row>
    <row r="58" spans="2:6" x14ac:dyDescent="0.3">
      <c r="B58" s="9">
        <v>1</v>
      </c>
      <c r="C58" s="9" t="str">
        <f>INDEX('Cleaned Data'!$B:$B,MATCH(LARGE('Cleaned Data'!$D$2:$D$158,1),'Cleaned Data'!$D:$D,0))</f>
        <v>F-Series</v>
      </c>
      <c r="D58" s="9" t="str">
        <f>INDEX('Cleaned Data'!$A:$A,MATCH(LARGE('Cleaned Data'!$D$2:$D$158,1),'Cleaned Data'!$D:$D,0))</f>
        <v>Ford</v>
      </c>
      <c r="E58" s="10">
        <f>LARGE('Cleaned Data'!$D$2:$D$158,1)</f>
        <v>540.56100000000004</v>
      </c>
      <c r="F58" s="11">
        <f>INDEX('Cleaned Data'!$S:$S,MATCH(LARGE('Cleaned Data'!$D$2:$D$158,1),'Cleaned Data'!$D:$D,0))</f>
        <v>14560.010534999999</v>
      </c>
    </row>
    <row r="59" spans="2:6" x14ac:dyDescent="0.3">
      <c r="B59" s="9">
        <v>2</v>
      </c>
      <c r="C59" s="9" t="str">
        <f>INDEX('Cleaned Data'!$B:$B,MATCH(LARGE('Cleaned Data'!$D$2:$D$158,2),'Cleaned Data'!$D:$D,0))</f>
        <v>Explorer</v>
      </c>
      <c r="D59" s="9" t="str">
        <f>INDEX('Cleaned Data'!$A:$A,MATCH(LARGE('Cleaned Data'!$D$2:$D$158,2),'Cleaned Data'!$D:$D,0))</f>
        <v>Ford</v>
      </c>
      <c r="E59" s="10">
        <f>LARGE('Cleaned Data'!$D$2:$D$158,2)</f>
        <v>276.74700000000001</v>
      </c>
      <c r="F59" s="11">
        <f>INDEX('Cleaned Data'!$S:$S,MATCH(LARGE('Cleaned Data'!$D$2:$D$158,2),'Cleaned Data'!$D:$D,0))</f>
        <v>8836.5317100000011</v>
      </c>
    </row>
    <row r="60" spans="2:6" x14ac:dyDescent="0.3">
      <c r="B60" s="9">
        <v>3</v>
      </c>
      <c r="C60" s="9" t="str">
        <f>INDEX('Cleaned Data'!$B:$B,MATCH(LARGE('Cleaned Data'!$D$2:$D$158,3),'Cleaned Data'!$D:$D,0))</f>
        <v>Camry</v>
      </c>
      <c r="D60" s="9" t="str">
        <f>INDEX('Cleaned Data'!$A:$A,MATCH(LARGE('Cleaned Data'!$D$2:$D$158,3),'Cleaned Data'!$D:$D,0))</f>
        <v>Toyota</v>
      </c>
      <c r="E60" s="10">
        <f>LARGE('Cleaned Data'!$D$2:$D$158,3)</f>
        <v>247.994</v>
      </c>
      <c r="F60" s="11">
        <f>INDEX('Cleaned Data'!$S:$S,MATCH(LARGE('Cleaned Data'!$D$2:$D$158,3),'Cleaned Data'!$D:$D,0))</f>
        <v>4344.3588920000002</v>
      </c>
    </row>
    <row r="61" spans="2:6" x14ac:dyDescent="0.3">
      <c r="B61" s="9">
        <v>4</v>
      </c>
      <c r="C61" s="9" t="str">
        <f>INDEX('Cleaned Data'!$B:$B,MATCH(LARGE('Cleaned Data'!$D$2:$D$158,4),'Cleaned Data'!$D:$D,0))</f>
        <v>Taurus</v>
      </c>
      <c r="D61" s="9" t="str">
        <f>INDEX('Cleaned Data'!$A:$A,MATCH(LARGE('Cleaned Data'!$D$2:$D$158,4),'Cleaned Data'!$D:$D,0))</f>
        <v>Ford</v>
      </c>
      <c r="E61" s="10">
        <f>LARGE('Cleaned Data'!$D$2:$D$158,4)</f>
        <v>245.815</v>
      </c>
      <c r="F61" s="11">
        <f>INDEX('Cleaned Data'!$S:$S,MATCH(LARGE('Cleaned Data'!$D$2:$D$158,4),'Cleaned Data'!$D:$D,0))</f>
        <v>4396.4012750000002</v>
      </c>
    </row>
    <row r="62" spans="2:6" x14ac:dyDescent="0.3">
      <c r="B62" s="9">
        <v>5</v>
      </c>
      <c r="C62" s="9" t="str">
        <f>INDEX('Cleaned Data'!$B:$B,MATCH(LARGE('Cleaned Data'!$D$2:$D$158,5),'Cleaned Data'!$D:$D,0))</f>
        <v>Accord</v>
      </c>
      <c r="D62" s="9" t="str">
        <f>INDEX('Cleaned Data'!$A:$A,MATCH(LARGE('Cleaned Data'!$D$2:$D$158,5),'Cleaned Data'!$D:$D,0))</f>
        <v>Honda</v>
      </c>
      <c r="E62" s="10">
        <f>LARGE('Cleaned Data'!$D$2:$D$158,5)</f>
        <v>230.90199999999999</v>
      </c>
      <c r="F62" s="11">
        <f>INDEX('Cleaned Data'!$S:$S,MATCH(LARGE('Cleaned Data'!$D$2:$D$158,5),'Cleaned Data'!$D:$D,0))</f>
        <v>3544.3456999999999</v>
      </c>
    </row>
    <row r="63" spans="2:6" x14ac:dyDescent="0.3">
      <c r="B63" s="9">
        <v>6</v>
      </c>
      <c r="C63" s="9" t="str">
        <f>INDEX('Cleaned Data'!$B:$B,MATCH(LARGE('Cleaned Data'!$D$2:$D$158,6),'Cleaned Data'!$D:$D,0))</f>
        <v>Ram Pickup</v>
      </c>
      <c r="D63" s="9" t="str">
        <f>INDEX('Cleaned Data'!$A:$A,MATCH(LARGE('Cleaned Data'!$D$2:$D$158,6),'Cleaned Data'!$D:$D,0))</f>
        <v>Dodge</v>
      </c>
      <c r="E63" s="10">
        <f>LARGE('Cleaned Data'!$D$2:$D$158,6)</f>
        <v>227.06100000000001</v>
      </c>
      <c r="F63" s="11">
        <f>INDEX('Cleaned Data'!$S:$S,MATCH(LARGE('Cleaned Data'!$D$2:$D$158,6),'Cleaned Data'!$D:$D,0))</f>
        <v>4418.6070600000003</v>
      </c>
    </row>
    <row r="64" spans="2:6" x14ac:dyDescent="0.3">
      <c r="B64" s="9">
        <v>7</v>
      </c>
      <c r="C64" s="9" t="str">
        <f>INDEX('Cleaned Data'!$B:$B,MATCH(LARGE('Cleaned Data'!$D$2:$D$158,7),'Cleaned Data'!$D:$D,0))</f>
        <v>Ranger</v>
      </c>
      <c r="D64" s="9" t="str">
        <f>INDEX('Cleaned Data'!$A:$A,MATCH(LARGE('Cleaned Data'!$D$2:$D$158,7),'Cleaned Data'!$D:$D,0))</f>
        <v>Ford</v>
      </c>
      <c r="E64" s="10">
        <f>LARGE('Cleaned Data'!$D$2:$D$158,7)</f>
        <v>220.65</v>
      </c>
      <c r="F64" s="11">
        <f>INDEX('Cleaned Data'!$S:$S,MATCH(LARGE('Cleaned Data'!$D$2:$D$158,7),'Cleaned Data'!$D:$D,0))</f>
        <v>2658.8325000000004</v>
      </c>
    </row>
    <row r="65" spans="2:6" x14ac:dyDescent="0.3">
      <c r="B65" s="9">
        <v>8</v>
      </c>
      <c r="C65" s="9" t="str">
        <f>INDEX('Cleaned Data'!$B:$B,MATCH(LARGE('Cleaned Data'!$D$2:$D$158,8),'Cleaned Data'!$D:$D,0))</f>
        <v>Civic</v>
      </c>
      <c r="D65" s="9" t="str">
        <f>INDEX('Cleaned Data'!$A:$A,MATCH(LARGE('Cleaned Data'!$D$2:$D$158,8),'Cleaned Data'!$D:$D,0))</f>
        <v>Honda</v>
      </c>
      <c r="E65" s="10">
        <f>LARGE('Cleaned Data'!$D$2:$D$158,8)</f>
        <v>199.685</v>
      </c>
      <c r="F65" s="11">
        <f>INDEX('Cleaned Data'!$S:$S,MATCH(LARGE('Cleaned Data'!$D$2:$D$158,8),'Cleaned Data'!$D:$D,0))</f>
        <v>2572.941225</v>
      </c>
    </row>
    <row r="66" spans="2:6" x14ac:dyDescent="0.3">
      <c r="B66" s="9">
        <v>9</v>
      </c>
      <c r="C66" s="9" t="str">
        <f>INDEX('Cleaned Data'!$B:$B,MATCH(LARGE('Cleaned Data'!$D$2:$D$158,9),'Cleaned Data'!$D:$D,0))</f>
        <v>Caravan</v>
      </c>
      <c r="D66" s="9" t="str">
        <f>INDEX('Cleaned Data'!$A:$A,MATCH(LARGE('Cleaned Data'!$D$2:$D$158,9),'Cleaned Data'!$D:$D,0))</f>
        <v>Dodge</v>
      </c>
      <c r="E66" s="10">
        <f>LARGE('Cleaned Data'!$D$2:$D$158,9)</f>
        <v>181.749</v>
      </c>
      <c r="F66" s="11">
        <f>INDEX('Cleaned Data'!$S:$S,MATCH(LARGE('Cleaned Data'!$D$2:$D$158,9),'Cleaned Data'!$D:$D,0))</f>
        <v>3555.9191850000002</v>
      </c>
    </row>
    <row r="67" spans="2:6" x14ac:dyDescent="0.3">
      <c r="B67" s="9">
        <v>10</v>
      </c>
      <c r="C67" s="9" t="str">
        <f>INDEX('Cleaned Data'!$B:$B,MATCH(LARGE('Cleaned Data'!$D$2:$D$158,10),'Cleaned Data'!$D:$D,0))</f>
        <v>Focus</v>
      </c>
      <c r="D67" s="9" t="str">
        <f>INDEX('Cleaned Data'!$A:$A,MATCH(LARGE('Cleaned Data'!$D$2:$D$158,10),'Cleaned Data'!$D:$D,0))</f>
        <v>Ford</v>
      </c>
      <c r="E67" s="10">
        <f>LARGE('Cleaned Data'!$D$2:$D$158,10)</f>
        <v>175.67</v>
      </c>
      <c r="F67" s="11">
        <f>INDEX('Cleaned Data'!$S:$S,MATCH(LARGE('Cleaned Data'!$D$2:$D$158,10),'Cleaned Data'!$D:$D,0))</f>
        <v>2163.3760499999999</v>
      </c>
    </row>
  </sheetData>
  <conditionalFormatting sqref="D6:D35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{38A03BF5-AC19-4486-B790-148EA087F814}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A03BF5-AC19-4486-B790-148EA087F814}">
            <x14:dataBar axisPosition="none">
              <x14:cfvo type="min"/>
              <x14:cfvo type="max"/>
              <x14:negativeFillColor rgb="FF2E75B6"/>
            </x14:dataBar>
          </x14:cfRule>
          <xm:sqref>D6:D35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J157"/>
  <sheetViews>
    <sheetView showGridLines="0" tabSelected="1" zoomScaleNormal="100" workbookViewId="0">
      <selection activeCell="F17" sqref="F17"/>
    </sheetView>
  </sheetViews>
  <sheetFormatPr defaultColWidth="8.6640625" defaultRowHeight="14.4" x14ac:dyDescent="0.3"/>
  <cols>
    <col min="1" max="1" width="3" customWidth="1"/>
    <col min="2" max="2" width="38" customWidth="1"/>
    <col min="3" max="3" width="20" customWidth="1"/>
  </cols>
  <sheetData>
    <row r="1" spans="2:62" x14ac:dyDescent="0.3">
      <c r="BI1" s="9" t="s">
        <v>22</v>
      </c>
      <c r="BJ1" t="str" cm="1">
        <f t="array" ref="BJ1:BJ30">_xlfn.UNIQUE(BI1:BI157)</f>
        <v>Acura</v>
      </c>
    </row>
    <row r="2" spans="2:62" ht="19.2" x14ac:dyDescent="0.35">
      <c r="B2" s="6" t="s">
        <v>245</v>
      </c>
      <c r="BI2" s="9" t="s">
        <v>22</v>
      </c>
      <c r="BJ2" t="str">
        <v>Audi</v>
      </c>
    </row>
    <row r="3" spans="2:62" x14ac:dyDescent="0.3">
      <c r="B3" s="7"/>
      <c r="BI3" s="9" t="s">
        <v>22</v>
      </c>
      <c r="BJ3" t="str">
        <v>BMW</v>
      </c>
    </row>
    <row r="4" spans="2:62" x14ac:dyDescent="0.3">
      <c r="BI4" s="9" t="s">
        <v>22</v>
      </c>
      <c r="BJ4" t="str">
        <v>Buick</v>
      </c>
    </row>
    <row r="5" spans="2:62" x14ac:dyDescent="0.3">
      <c r="B5" s="1" t="s">
        <v>246</v>
      </c>
      <c r="C5" s="16" t="s">
        <v>237</v>
      </c>
      <c r="BI5" s="9" t="s">
        <v>23</v>
      </c>
      <c r="BJ5" t="str">
        <v>Cadillac</v>
      </c>
    </row>
    <row r="6" spans="2:62" x14ac:dyDescent="0.3">
      <c r="BI6" s="9" t="s">
        <v>23</v>
      </c>
      <c r="BJ6" t="str">
        <v>Chevrolet</v>
      </c>
    </row>
    <row r="7" spans="2:62" x14ac:dyDescent="0.3">
      <c r="B7" s="17" t="s">
        <v>409</v>
      </c>
      <c r="C7" s="40" t="str">
        <f>IFERROR(INDEX('Cleaned Data'!A:A,MATCH($C$5,'Cleaned Data'!B:B,0)),"Model not found")</f>
        <v>Volkswagen</v>
      </c>
      <c r="BI7" s="9" t="s">
        <v>23</v>
      </c>
      <c r="BJ7" t="str">
        <v>Chrysler</v>
      </c>
    </row>
    <row r="8" spans="2:62" x14ac:dyDescent="0.3">
      <c r="B8" s="17" t="s">
        <v>406</v>
      </c>
      <c r="C8" s="36">
        <f>IFERROR(VLOOKUP($C$5,'Cleaned Data'!B:E,4,FALSE()),"Model not found")</f>
        <v>17.5</v>
      </c>
      <c r="BI8" s="9" t="s">
        <v>24</v>
      </c>
      <c r="BJ8" t="str">
        <v>Dodge</v>
      </c>
    </row>
    <row r="9" spans="2:62" x14ac:dyDescent="0.3">
      <c r="B9" s="17" t="s">
        <v>407</v>
      </c>
      <c r="C9" s="37">
        <f>IFERROR(INDEX('Cleaned Data'!D:D,MATCH($C$5,'Cleaned Data'!B:B,0)),"Model not found")</f>
        <v>5.5960000000000001</v>
      </c>
      <c r="BI9" s="9" t="s">
        <v>24</v>
      </c>
      <c r="BJ9" t="str">
        <v>Ford</v>
      </c>
    </row>
    <row r="10" spans="2:62" x14ac:dyDescent="0.3">
      <c r="B10" s="17" t="s">
        <v>408</v>
      </c>
      <c r="C10" s="38">
        <f>IFERROR(INDEX('Cleaned Data'!S:S,MATCH($C$5,'Cleaned Data'!B:B,0)),"Model not found")</f>
        <v>97.93</v>
      </c>
      <c r="BI10" s="9" t="s">
        <v>24</v>
      </c>
      <c r="BJ10" t="str">
        <v>Honda</v>
      </c>
    </row>
    <row r="11" spans="2:62" x14ac:dyDescent="0.3">
      <c r="B11" s="17" t="s">
        <v>247</v>
      </c>
      <c r="C11" s="18" t="str">
        <f>IFERROR(INDEX('Cleaned Data'!C:C,MATCH($C$5,'Cleaned Data'!B:B,0)),"Model not found")</f>
        <v>Passenger Car</v>
      </c>
      <c r="BI11" s="9" t="s">
        <v>25</v>
      </c>
      <c r="BJ11" t="str">
        <v>Hyundai</v>
      </c>
    </row>
    <row r="12" spans="2:62" x14ac:dyDescent="0.3">
      <c r="B12" s="17" t="s">
        <v>57</v>
      </c>
      <c r="C12" s="18" t="str">
        <f>IFERROR(INDEX('Cleaned Data'!T:T,MATCH($C$5,'Cleaned Data'!B:B,0)),"Model not found")</f>
        <v>Mid-range</v>
      </c>
      <c r="BI12" s="9" t="s">
        <v>25</v>
      </c>
      <c r="BJ12" t="str">
        <v>Infiniti</v>
      </c>
    </row>
    <row r="13" spans="2:62" x14ac:dyDescent="0.3">
      <c r="B13" s="17" t="s">
        <v>248</v>
      </c>
      <c r="C13" s="36">
        <f>IFERROR(INDEX('Cleaned Data'!V:V,MATCH($C$5,'Cleaned Data'!B:B,0)),"Model not found")</f>
        <v>141</v>
      </c>
      <c r="BI13" s="9" t="s">
        <v>25</v>
      </c>
      <c r="BJ13" t="str">
        <v>Jaguar</v>
      </c>
    </row>
    <row r="14" spans="2:62" x14ac:dyDescent="0.3">
      <c r="B14" s="17" t="s">
        <v>249</v>
      </c>
      <c r="C14" s="39">
        <f>IFERROR(INDEX('Cleaned Data'!O:O,MATCH($C$5,'Cleaned Data'!B:B,0)),"Model not found")</f>
        <v>40634</v>
      </c>
      <c r="BI14" s="9" t="s">
        <v>25</v>
      </c>
      <c r="BJ14" t="str">
        <v>Jeep</v>
      </c>
    </row>
    <row r="15" spans="2:62" x14ac:dyDescent="0.3">
      <c r="BI15" s="9" t="s">
        <v>26</v>
      </c>
      <c r="BJ15" t="str">
        <v>Lexus</v>
      </c>
    </row>
    <row r="16" spans="2:62" x14ac:dyDescent="0.3">
      <c r="BI16" s="9" t="s">
        <v>26</v>
      </c>
      <c r="BJ16" t="str">
        <v>Lincoln</v>
      </c>
    </row>
    <row r="17" spans="2:62" ht="16.8" x14ac:dyDescent="0.3">
      <c r="B17" s="5" t="s">
        <v>250</v>
      </c>
      <c r="BI17" s="9" t="s">
        <v>26</v>
      </c>
      <c r="BJ17" t="str">
        <v>Mitsubishi</v>
      </c>
    </row>
    <row r="18" spans="2:62" x14ac:dyDescent="0.3">
      <c r="B18" s="1" t="s">
        <v>251</v>
      </c>
      <c r="C18" s="41" t="s">
        <v>27</v>
      </c>
      <c r="BI18" s="9" t="s">
        <v>26</v>
      </c>
      <c r="BJ18" t="str">
        <v>Mercury</v>
      </c>
    </row>
    <row r="19" spans="2:62" x14ac:dyDescent="0.3">
      <c r="B19" s="17" t="s">
        <v>403</v>
      </c>
      <c r="C19" s="18">
        <f>IFERROR(VLOOKUP($C$18,Analysis!$B$5:$H$36,2,FALSE()),"Brand not found")</f>
        <v>554.36500000000001</v>
      </c>
      <c r="BI19" s="9" t="s">
        <v>26</v>
      </c>
      <c r="BJ19" t="str">
        <v>Mercedes-Benz</v>
      </c>
    </row>
    <row r="20" spans="2:62" x14ac:dyDescent="0.3">
      <c r="B20" s="17" t="s">
        <v>411</v>
      </c>
      <c r="C20" s="27">
        <f>IFERROR(VLOOKUP($C$18,Analysis!$B$5:$H$36,3,FALSE()),"Brand not found")</f>
        <v>9610.653260000001</v>
      </c>
      <c r="BI20" s="9" t="s">
        <v>27</v>
      </c>
      <c r="BJ20" t="str">
        <v>Nissan</v>
      </c>
    </row>
    <row r="21" spans="2:62" x14ac:dyDescent="0.3">
      <c r="B21" s="17" t="s">
        <v>410</v>
      </c>
      <c r="C21" s="27">
        <f>IFERROR(VLOOKUP($C$18,Analysis!$B$5:$H$36,4,FALSE()),"Brand not found")</f>
        <v>20.022777777777776</v>
      </c>
      <c r="BI21" s="9" t="s">
        <v>27</v>
      </c>
      <c r="BJ21" t="str">
        <v>Oldsmobile</v>
      </c>
    </row>
    <row r="22" spans="2:62" x14ac:dyDescent="0.3">
      <c r="B22" s="17" t="s">
        <v>20</v>
      </c>
      <c r="C22" s="18">
        <f>IFERROR(VLOOKUP($C$18,Analysis!$B$5:$H$36,5,FALSE()),"Brand not found")</f>
        <v>9</v>
      </c>
      <c r="BI22" s="9" t="s">
        <v>27</v>
      </c>
      <c r="BJ22" t="str">
        <v>Plymouth</v>
      </c>
    </row>
    <row r="23" spans="2:62" x14ac:dyDescent="0.3">
      <c r="B23" s="17" t="s">
        <v>21</v>
      </c>
      <c r="C23" s="18">
        <f>IFERROR(VLOOKUP($C$18,Analysis!$B$5:$H$36,7,FALSE()),"Brand not found")</f>
        <v>5</v>
      </c>
      <c r="BI23" s="9" t="s">
        <v>27</v>
      </c>
      <c r="BJ23" t="str">
        <v>Pontiac</v>
      </c>
    </row>
    <row r="24" spans="2:62" x14ac:dyDescent="0.3">
      <c r="BI24" s="9" t="s">
        <v>27</v>
      </c>
      <c r="BJ24" t="str">
        <v>Porsche</v>
      </c>
    </row>
    <row r="25" spans="2:62" x14ac:dyDescent="0.3">
      <c r="BI25" s="9" t="s">
        <v>27</v>
      </c>
      <c r="BJ25" t="str">
        <v>Saab</v>
      </c>
    </row>
    <row r="26" spans="2:62" x14ac:dyDescent="0.3">
      <c r="BI26" s="9" t="s">
        <v>27</v>
      </c>
      <c r="BJ26" t="str">
        <v>Saturn</v>
      </c>
    </row>
    <row r="27" spans="2:62" x14ac:dyDescent="0.3">
      <c r="BI27" s="9" t="s">
        <v>27</v>
      </c>
      <c r="BJ27" t="str">
        <v>Subaru</v>
      </c>
    </row>
    <row r="28" spans="2:62" x14ac:dyDescent="0.3">
      <c r="BI28" s="9" t="s">
        <v>27</v>
      </c>
      <c r="BJ28" t="str">
        <v>Toyota</v>
      </c>
    </row>
    <row r="29" spans="2:62" x14ac:dyDescent="0.3">
      <c r="BI29" s="9" t="s">
        <v>28</v>
      </c>
      <c r="BJ29" t="str">
        <v>Volkswagen</v>
      </c>
    </row>
    <row r="30" spans="2:62" x14ac:dyDescent="0.3">
      <c r="BI30" s="9" t="s">
        <v>28</v>
      </c>
      <c r="BJ30" t="str">
        <v>Volvo</v>
      </c>
    </row>
    <row r="31" spans="2:62" x14ac:dyDescent="0.3">
      <c r="BI31" s="9" t="s">
        <v>28</v>
      </c>
    </row>
    <row r="32" spans="2:62" x14ac:dyDescent="0.3">
      <c r="BI32" s="9" t="s">
        <v>28</v>
      </c>
    </row>
    <row r="33" spans="61:61" x14ac:dyDescent="0.3">
      <c r="BI33" s="9" t="s">
        <v>28</v>
      </c>
    </row>
    <row r="34" spans="61:61" x14ac:dyDescent="0.3">
      <c r="BI34" s="9" t="s">
        <v>28</v>
      </c>
    </row>
    <row r="35" spans="61:61" x14ac:dyDescent="0.3">
      <c r="BI35" s="9" t="s">
        <v>28</v>
      </c>
    </row>
    <row r="36" spans="61:61" x14ac:dyDescent="0.3">
      <c r="BI36" s="9" t="s">
        <v>29</v>
      </c>
    </row>
    <row r="37" spans="61:61" x14ac:dyDescent="0.3">
      <c r="BI37" s="9" t="s">
        <v>29</v>
      </c>
    </row>
    <row r="38" spans="61:61" x14ac:dyDescent="0.3">
      <c r="BI38" s="9" t="s">
        <v>29</v>
      </c>
    </row>
    <row r="39" spans="61:61" x14ac:dyDescent="0.3">
      <c r="BI39" s="9" t="s">
        <v>29</v>
      </c>
    </row>
    <row r="40" spans="61:61" x14ac:dyDescent="0.3">
      <c r="BI40" s="9" t="s">
        <v>29</v>
      </c>
    </row>
    <row r="41" spans="61:61" x14ac:dyDescent="0.3">
      <c r="BI41" s="9" t="s">
        <v>29</v>
      </c>
    </row>
    <row r="42" spans="61:61" x14ac:dyDescent="0.3">
      <c r="BI42" s="9" t="s">
        <v>29</v>
      </c>
    </row>
    <row r="43" spans="61:61" x14ac:dyDescent="0.3">
      <c r="BI43" s="9" t="s">
        <v>29</v>
      </c>
    </row>
    <row r="44" spans="61:61" x14ac:dyDescent="0.3">
      <c r="BI44" s="9" t="s">
        <v>29</v>
      </c>
    </row>
    <row r="45" spans="61:61" x14ac:dyDescent="0.3">
      <c r="BI45" s="9" t="s">
        <v>29</v>
      </c>
    </row>
    <row r="46" spans="61:61" x14ac:dyDescent="0.3">
      <c r="BI46" s="9" t="s">
        <v>29</v>
      </c>
    </row>
    <row r="47" spans="61:61" x14ac:dyDescent="0.3">
      <c r="BI47" s="9" t="s">
        <v>30</v>
      </c>
    </row>
    <row r="48" spans="61:61" x14ac:dyDescent="0.3">
      <c r="BI48" s="9" t="s">
        <v>30</v>
      </c>
    </row>
    <row r="49" spans="61:61" x14ac:dyDescent="0.3">
      <c r="BI49" s="9" t="s">
        <v>30</v>
      </c>
    </row>
    <row r="50" spans="61:61" x14ac:dyDescent="0.3">
      <c r="BI50" s="9" t="s">
        <v>30</v>
      </c>
    </row>
    <row r="51" spans="61:61" x14ac:dyDescent="0.3">
      <c r="BI51" s="9" t="s">
        <v>30</v>
      </c>
    </row>
    <row r="52" spans="61:61" x14ac:dyDescent="0.3">
      <c r="BI52" s="9" t="s">
        <v>30</v>
      </c>
    </row>
    <row r="53" spans="61:61" x14ac:dyDescent="0.3">
      <c r="BI53" s="9" t="s">
        <v>30</v>
      </c>
    </row>
    <row r="54" spans="61:61" x14ac:dyDescent="0.3">
      <c r="BI54" s="9" t="s">
        <v>30</v>
      </c>
    </row>
    <row r="55" spans="61:61" x14ac:dyDescent="0.3">
      <c r="BI55" s="9" t="s">
        <v>30</v>
      </c>
    </row>
    <row r="56" spans="61:61" x14ac:dyDescent="0.3">
      <c r="BI56" s="9" t="s">
        <v>30</v>
      </c>
    </row>
    <row r="57" spans="61:61" x14ac:dyDescent="0.3">
      <c r="BI57" s="9" t="s">
        <v>30</v>
      </c>
    </row>
    <row r="58" spans="61:61" x14ac:dyDescent="0.3">
      <c r="BI58" s="9" t="s">
        <v>31</v>
      </c>
    </row>
    <row r="59" spans="61:61" x14ac:dyDescent="0.3">
      <c r="BI59" s="9" t="s">
        <v>31</v>
      </c>
    </row>
    <row r="60" spans="61:61" x14ac:dyDescent="0.3">
      <c r="BI60" s="9" t="s">
        <v>31</v>
      </c>
    </row>
    <row r="61" spans="61:61" x14ac:dyDescent="0.3">
      <c r="BI61" s="9" t="s">
        <v>31</v>
      </c>
    </row>
    <row r="62" spans="61:61" x14ac:dyDescent="0.3">
      <c r="BI62" s="9" t="s">
        <v>31</v>
      </c>
    </row>
    <row r="63" spans="61:61" x14ac:dyDescent="0.3">
      <c r="BI63" s="9" t="s">
        <v>32</v>
      </c>
    </row>
    <row r="64" spans="61:61" x14ac:dyDescent="0.3">
      <c r="BI64" s="9" t="s">
        <v>32</v>
      </c>
    </row>
    <row r="65" spans="61:61" x14ac:dyDescent="0.3">
      <c r="BI65" s="9" t="s">
        <v>32</v>
      </c>
    </row>
    <row r="66" spans="61:61" x14ac:dyDescent="0.3">
      <c r="BI66" s="9" t="s">
        <v>33</v>
      </c>
    </row>
    <row r="67" spans="61:61" x14ac:dyDescent="0.3">
      <c r="BI67" s="9" t="s">
        <v>34</v>
      </c>
    </row>
    <row r="68" spans="61:61" x14ac:dyDescent="0.3">
      <c r="BI68" s="9" t="s">
        <v>35</v>
      </c>
    </row>
    <row r="69" spans="61:61" x14ac:dyDescent="0.3">
      <c r="BI69" s="9" t="s">
        <v>35</v>
      </c>
    </row>
    <row r="70" spans="61:61" x14ac:dyDescent="0.3">
      <c r="BI70" s="9" t="s">
        <v>35</v>
      </c>
    </row>
    <row r="71" spans="61:61" x14ac:dyDescent="0.3">
      <c r="BI71" s="9" t="s">
        <v>36</v>
      </c>
    </row>
    <row r="72" spans="61:61" x14ac:dyDescent="0.3">
      <c r="BI72" s="9" t="s">
        <v>36</v>
      </c>
    </row>
    <row r="73" spans="61:61" x14ac:dyDescent="0.3">
      <c r="BI73" s="9" t="s">
        <v>36</v>
      </c>
    </row>
    <row r="74" spans="61:61" x14ac:dyDescent="0.3">
      <c r="BI74" s="9" t="s">
        <v>36</v>
      </c>
    </row>
    <row r="75" spans="61:61" x14ac:dyDescent="0.3">
      <c r="BI75" s="9" t="s">
        <v>36</v>
      </c>
    </row>
    <row r="76" spans="61:61" x14ac:dyDescent="0.3">
      <c r="BI76" s="9" t="s">
        <v>36</v>
      </c>
    </row>
    <row r="77" spans="61:61" x14ac:dyDescent="0.3">
      <c r="BI77" s="9" t="s">
        <v>37</v>
      </c>
    </row>
    <row r="78" spans="61:61" x14ac:dyDescent="0.3">
      <c r="BI78" s="9" t="s">
        <v>37</v>
      </c>
    </row>
    <row r="79" spans="61:61" x14ac:dyDescent="0.3">
      <c r="BI79" s="9" t="s">
        <v>37</v>
      </c>
    </row>
    <row r="80" spans="61:61" x14ac:dyDescent="0.3">
      <c r="BI80" s="9" t="s">
        <v>40</v>
      </c>
    </row>
    <row r="81" spans="61:61" x14ac:dyDescent="0.3">
      <c r="BI81" s="9" t="s">
        <v>40</v>
      </c>
    </row>
    <row r="82" spans="61:61" x14ac:dyDescent="0.3">
      <c r="BI82" s="9" t="s">
        <v>40</v>
      </c>
    </row>
    <row r="83" spans="61:61" x14ac:dyDescent="0.3">
      <c r="BI83" s="9" t="s">
        <v>40</v>
      </c>
    </row>
    <row r="84" spans="61:61" x14ac:dyDescent="0.3">
      <c r="BI84" s="9" t="s">
        <v>40</v>
      </c>
    </row>
    <row r="85" spans="61:61" x14ac:dyDescent="0.3">
      <c r="BI85" s="9" t="s">
        <v>40</v>
      </c>
    </row>
    <row r="86" spans="61:61" x14ac:dyDescent="0.3">
      <c r="BI86" s="9" t="s">
        <v>40</v>
      </c>
    </row>
    <row r="87" spans="61:61" x14ac:dyDescent="0.3">
      <c r="BI87" s="9" t="s">
        <v>39</v>
      </c>
    </row>
    <row r="88" spans="61:61" x14ac:dyDescent="0.3">
      <c r="BI88" s="9" t="s">
        <v>39</v>
      </c>
    </row>
    <row r="89" spans="61:61" x14ac:dyDescent="0.3">
      <c r="BI89" s="9" t="s">
        <v>39</v>
      </c>
    </row>
    <row r="90" spans="61:61" x14ac:dyDescent="0.3">
      <c r="BI90" s="9" t="s">
        <v>39</v>
      </c>
    </row>
    <row r="91" spans="61:61" x14ac:dyDescent="0.3">
      <c r="BI91" s="9" t="s">
        <v>39</v>
      </c>
    </row>
    <row r="92" spans="61:61" x14ac:dyDescent="0.3">
      <c r="BI92" s="9" t="s">
        <v>39</v>
      </c>
    </row>
    <row r="93" spans="61:61" x14ac:dyDescent="0.3">
      <c r="BI93" s="9" t="s">
        <v>38</v>
      </c>
    </row>
    <row r="94" spans="61:61" x14ac:dyDescent="0.3">
      <c r="BI94" s="9" t="s">
        <v>38</v>
      </c>
    </row>
    <row r="95" spans="61:61" x14ac:dyDescent="0.3">
      <c r="BI95" s="9" t="s">
        <v>38</v>
      </c>
    </row>
    <row r="96" spans="61:61" x14ac:dyDescent="0.3">
      <c r="BI96" s="9" t="s">
        <v>38</v>
      </c>
    </row>
    <row r="97" spans="61:61" x14ac:dyDescent="0.3">
      <c r="BI97" s="9" t="s">
        <v>38</v>
      </c>
    </row>
    <row r="98" spans="61:61" x14ac:dyDescent="0.3">
      <c r="BI98" s="9" t="s">
        <v>38</v>
      </c>
    </row>
    <row r="99" spans="61:61" x14ac:dyDescent="0.3">
      <c r="BI99" s="9" t="s">
        <v>38</v>
      </c>
    </row>
    <row r="100" spans="61:61" x14ac:dyDescent="0.3">
      <c r="BI100" s="9" t="s">
        <v>38</v>
      </c>
    </row>
    <row r="101" spans="61:61" x14ac:dyDescent="0.3">
      <c r="BI101" s="9" t="s">
        <v>38</v>
      </c>
    </row>
    <row r="102" spans="61:61" x14ac:dyDescent="0.3">
      <c r="BI102" s="9" t="s">
        <v>41</v>
      </c>
    </row>
    <row r="103" spans="61:61" x14ac:dyDescent="0.3">
      <c r="BI103" s="9" t="s">
        <v>41</v>
      </c>
    </row>
    <row r="104" spans="61:61" x14ac:dyDescent="0.3">
      <c r="BI104" s="9" t="s">
        <v>41</v>
      </c>
    </row>
    <row r="105" spans="61:61" x14ac:dyDescent="0.3">
      <c r="BI105" s="9" t="s">
        <v>41</v>
      </c>
    </row>
    <row r="106" spans="61:61" x14ac:dyDescent="0.3">
      <c r="BI106" s="9" t="s">
        <v>41</v>
      </c>
    </row>
    <row r="107" spans="61:61" x14ac:dyDescent="0.3">
      <c r="BI107" s="9" t="s">
        <v>41</v>
      </c>
    </row>
    <row r="108" spans="61:61" x14ac:dyDescent="0.3">
      <c r="BI108" s="9" t="s">
        <v>41</v>
      </c>
    </row>
    <row r="109" spans="61:61" x14ac:dyDescent="0.3">
      <c r="BI109" s="9" t="s">
        <v>42</v>
      </c>
    </row>
    <row r="110" spans="61:61" x14ac:dyDescent="0.3">
      <c r="BI110" s="9" t="s">
        <v>42</v>
      </c>
    </row>
    <row r="111" spans="61:61" x14ac:dyDescent="0.3">
      <c r="BI111" s="9" t="s">
        <v>42</v>
      </c>
    </row>
    <row r="112" spans="61:61" x14ac:dyDescent="0.3">
      <c r="BI112" s="9" t="s">
        <v>42</v>
      </c>
    </row>
    <row r="113" spans="61:61" x14ac:dyDescent="0.3">
      <c r="BI113" s="9" t="s">
        <v>42</v>
      </c>
    </row>
    <row r="114" spans="61:61" x14ac:dyDescent="0.3">
      <c r="BI114" s="9" t="s">
        <v>42</v>
      </c>
    </row>
    <row r="115" spans="61:61" x14ac:dyDescent="0.3">
      <c r="BI115" s="9" t="s">
        <v>43</v>
      </c>
    </row>
    <row r="116" spans="61:61" x14ac:dyDescent="0.3">
      <c r="BI116" s="9" t="s">
        <v>43</v>
      </c>
    </row>
    <row r="117" spans="61:61" x14ac:dyDescent="0.3">
      <c r="BI117" s="9" t="s">
        <v>43</v>
      </c>
    </row>
    <row r="118" spans="61:61" x14ac:dyDescent="0.3">
      <c r="BI118" s="9" t="s">
        <v>43</v>
      </c>
    </row>
    <row r="119" spans="61:61" x14ac:dyDescent="0.3">
      <c r="BI119" s="9" t="s">
        <v>44</v>
      </c>
    </row>
    <row r="120" spans="61:61" x14ac:dyDescent="0.3">
      <c r="BI120" s="9" t="s">
        <v>44</v>
      </c>
    </row>
    <row r="121" spans="61:61" x14ac:dyDescent="0.3">
      <c r="BI121" s="9" t="s">
        <v>44</v>
      </c>
    </row>
    <row r="122" spans="61:61" x14ac:dyDescent="0.3">
      <c r="BI122" s="9" t="s">
        <v>44</v>
      </c>
    </row>
    <row r="123" spans="61:61" x14ac:dyDescent="0.3">
      <c r="BI123" s="9" t="s">
        <v>44</v>
      </c>
    </row>
    <row r="124" spans="61:61" x14ac:dyDescent="0.3">
      <c r="BI124" s="9" t="s">
        <v>44</v>
      </c>
    </row>
    <row r="125" spans="61:61" x14ac:dyDescent="0.3">
      <c r="BI125" s="9" t="s">
        <v>45</v>
      </c>
    </row>
    <row r="126" spans="61:61" x14ac:dyDescent="0.3">
      <c r="BI126" s="9" t="s">
        <v>45</v>
      </c>
    </row>
    <row r="127" spans="61:61" x14ac:dyDescent="0.3">
      <c r="BI127" s="9" t="s">
        <v>45</v>
      </c>
    </row>
    <row r="128" spans="61:61" x14ac:dyDescent="0.3">
      <c r="BI128" s="9" t="s">
        <v>46</v>
      </c>
    </row>
    <row r="129" spans="61:61" x14ac:dyDescent="0.3">
      <c r="BI129" s="9" t="s">
        <v>46</v>
      </c>
    </row>
    <row r="130" spans="61:61" x14ac:dyDescent="0.3">
      <c r="BI130" s="9" t="s">
        <v>47</v>
      </c>
    </row>
    <row r="131" spans="61:61" x14ac:dyDescent="0.3">
      <c r="BI131" s="9" t="s">
        <v>47</v>
      </c>
    </row>
    <row r="132" spans="61:61" x14ac:dyDescent="0.3">
      <c r="BI132" s="9" t="s">
        <v>47</v>
      </c>
    </row>
    <row r="133" spans="61:61" x14ac:dyDescent="0.3">
      <c r="BI133" s="9" t="s">
        <v>47</v>
      </c>
    </row>
    <row r="134" spans="61:61" x14ac:dyDescent="0.3">
      <c r="BI134" s="9" t="s">
        <v>47</v>
      </c>
    </row>
    <row r="135" spans="61:61" x14ac:dyDescent="0.3">
      <c r="BI135" s="9" t="s">
        <v>48</v>
      </c>
    </row>
    <row r="136" spans="61:61" x14ac:dyDescent="0.3">
      <c r="BI136" s="9" t="s">
        <v>48</v>
      </c>
    </row>
    <row r="137" spans="61:61" x14ac:dyDescent="0.3">
      <c r="BI137" s="9" t="s">
        <v>49</v>
      </c>
    </row>
    <row r="138" spans="61:61" x14ac:dyDescent="0.3">
      <c r="BI138" s="9" t="s">
        <v>49</v>
      </c>
    </row>
    <row r="139" spans="61:61" x14ac:dyDescent="0.3">
      <c r="BI139" s="9" t="s">
        <v>49</v>
      </c>
    </row>
    <row r="140" spans="61:61" x14ac:dyDescent="0.3">
      <c r="BI140" s="9" t="s">
        <v>49</v>
      </c>
    </row>
    <row r="141" spans="61:61" x14ac:dyDescent="0.3">
      <c r="BI141" s="9" t="s">
        <v>49</v>
      </c>
    </row>
    <row r="142" spans="61:61" x14ac:dyDescent="0.3">
      <c r="BI142" s="9" t="s">
        <v>49</v>
      </c>
    </row>
    <row r="143" spans="61:61" x14ac:dyDescent="0.3">
      <c r="BI143" s="9" t="s">
        <v>49</v>
      </c>
    </row>
    <row r="144" spans="61:61" x14ac:dyDescent="0.3">
      <c r="BI144" s="9" t="s">
        <v>49</v>
      </c>
    </row>
    <row r="145" spans="61:61" x14ac:dyDescent="0.3">
      <c r="BI145" s="9" t="s">
        <v>49</v>
      </c>
    </row>
    <row r="146" spans="61:61" x14ac:dyDescent="0.3">
      <c r="BI146" s="9" t="s">
        <v>50</v>
      </c>
    </row>
    <row r="147" spans="61:61" x14ac:dyDescent="0.3">
      <c r="BI147" s="9" t="s">
        <v>50</v>
      </c>
    </row>
    <row r="148" spans="61:61" x14ac:dyDescent="0.3">
      <c r="BI148" s="9" t="s">
        <v>50</v>
      </c>
    </row>
    <row r="149" spans="61:61" x14ac:dyDescent="0.3">
      <c r="BI149" s="9" t="s">
        <v>50</v>
      </c>
    </row>
    <row r="150" spans="61:61" x14ac:dyDescent="0.3">
      <c r="BI150" s="9" t="s">
        <v>50</v>
      </c>
    </row>
    <row r="151" spans="61:61" x14ac:dyDescent="0.3">
      <c r="BI151" s="9" t="s">
        <v>50</v>
      </c>
    </row>
    <row r="152" spans="61:61" x14ac:dyDescent="0.3">
      <c r="BI152" s="9" t="s">
        <v>51</v>
      </c>
    </row>
    <row r="153" spans="61:61" x14ac:dyDescent="0.3">
      <c r="BI153" s="9" t="s">
        <v>51</v>
      </c>
    </row>
    <row r="154" spans="61:61" x14ac:dyDescent="0.3">
      <c r="BI154" s="9" t="s">
        <v>51</v>
      </c>
    </row>
    <row r="155" spans="61:61" x14ac:dyDescent="0.3">
      <c r="BI155" s="9" t="s">
        <v>51</v>
      </c>
    </row>
    <row r="156" spans="61:61" x14ac:dyDescent="0.3">
      <c r="BI156" s="9" t="s">
        <v>51</v>
      </c>
    </row>
    <row r="157" spans="61:61" x14ac:dyDescent="0.3">
      <c r="BI157" s="9" t="s">
        <v>51</v>
      </c>
    </row>
  </sheetData>
  <dataValidations count="1">
    <dataValidation type="list" allowBlank="1" showInputMessage="1" showErrorMessage="1" sqref="C18" xr:uid="{DB316ECE-A1D4-47F8-8EED-FC4617359FB6}">
      <formula1>$BJ$1:$BJ$30</formula1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2B7E25-1157-4FB9-B951-8815C544291F}">
          <x14:formula1>
            <xm:f>'Cleaned Data'!$B$2:$B$158</xm:f>
          </x14:formula1>
          <xm:sqref>C5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0"/>
  <sheetViews>
    <sheetView showGridLines="0" zoomScaleNormal="100" workbookViewId="0">
      <selection activeCell="I16" sqref="I16"/>
    </sheetView>
  </sheetViews>
  <sheetFormatPr defaultColWidth="8.6640625" defaultRowHeight="14.4" x14ac:dyDescent="0.3"/>
  <cols>
    <col min="1" max="1" width="3" customWidth="1"/>
    <col min="2" max="6" width="20" customWidth="1"/>
  </cols>
  <sheetData>
    <row r="2" spans="2:6" ht="19.2" x14ac:dyDescent="0.35">
      <c r="B2" s="6" t="s">
        <v>9</v>
      </c>
    </row>
    <row r="4" spans="2:6" ht="15" customHeight="1" x14ac:dyDescent="0.3">
      <c r="B4" s="33" t="s">
        <v>10</v>
      </c>
      <c r="C4" s="33"/>
      <c r="D4" s="33"/>
      <c r="E4" s="33"/>
      <c r="F4" s="33"/>
    </row>
    <row r="5" spans="2:6" ht="18" customHeight="1" x14ac:dyDescent="0.3">
      <c r="B5" s="34" t="str">
        <f>INDEX(Analysis!$B$6:$B$35,MATCH(MAX(Analysis!$D$6:$D$35),Analysis!$D$6:$D$35,0))&amp;" ($"&amp;TEXT(MAX(Analysis!$D$6:$D$35),"#,##0.0")&amp;"M)"</f>
        <v>Ford ($45,776.1M)</v>
      </c>
      <c r="C5" s="34"/>
      <c r="D5" s="34"/>
      <c r="E5" s="34"/>
      <c r="F5" s="34"/>
    </row>
    <row r="7" spans="2:6" ht="15" customHeight="1" x14ac:dyDescent="0.3">
      <c r="B7" s="33" t="s">
        <v>11</v>
      </c>
      <c r="C7" s="33"/>
      <c r="D7" s="33"/>
      <c r="E7" s="33"/>
      <c r="F7" s="33"/>
    </row>
    <row r="8" spans="2:6" ht="18" customHeight="1" x14ac:dyDescent="0.3">
      <c r="B8" s="34" t="str">
        <f>Analysis!C58&amp;" ("&amp;TEXT(Analysis!E58,"#,##0.0")&amp;"k units)"</f>
        <v>F-Series (540.6k units)</v>
      </c>
      <c r="C8" s="34"/>
      <c r="D8" s="34"/>
      <c r="E8" s="34"/>
      <c r="F8" s="34"/>
    </row>
    <row r="10" spans="2:6" ht="15" customHeight="1" x14ac:dyDescent="0.3">
      <c r="B10" s="33" t="s">
        <v>12</v>
      </c>
      <c r="C10" s="33"/>
      <c r="D10" s="33"/>
      <c r="E10" s="33"/>
      <c r="F10" s="33"/>
    </row>
    <row r="11" spans="2:6" ht="18" customHeight="1" x14ac:dyDescent="0.3">
      <c r="B11" s="35">
        <f>INDEX(Analysis!$B$51:$B$54,MATCH(MAX(Analysis!$C$51:$C$54),Analysis!$C$51:$C$54,0))</f>
        <v>2012</v>
      </c>
      <c r="C11" s="35"/>
      <c r="D11" s="35"/>
      <c r="E11" s="35"/>
      <c r="F11" s="35"/>
    </row>
    <row r="13" spans="2:6" ht="15" customHeight="1" x14ac:dyDescent="0.3">
      <c r="B13" s="33" t="s">
        <v>13</v>
      </c>
      <c r="C13" s="33"/>
      <c r="D13" s="33"/>
      <c r="E13" s="33"/>
      <c r="F13" s="33"/>
    </row>
    <row r="14" spans="2:6" ht="18" customHeight="1" x14ac:dyDescent="0.3">
      <c r="B14" s="34" t="str">
        <f>"$"&amp;TEXT(AVERAGE('Cleaned Data'!$E$2:$E$158),"#,##0.0")&amp;"k"</f>
        <v>$27.4k</v>
      </c>
      <c r="C14" s="34"/>
      <c r="D14" s="34"/>
      <c r="E14" s="34"/>
      <c r="F14" s="34"/>
    </row>
    <row r="16" spans="2:6" ht="15" customHeight="1" x14ac:dyDescent="0.3">
      <c r="B16" s="33" t="s">
        <v>14</v>
      </c>
      <c r="C16" s="33"/>
      <c r="D16" s="33"/>
      <c r="E16" s="33"/>
      <c r="F16" s="33"/>
    </row>
    <row r="17" spans="2:6" ht="18" customHeight="1" x14ac:dyDescent="0.3">
      <c r="B17" s="34" t="str">
        <f>INDEX(Analysis!$B$6:$B$35,MATCH(MAX(Analysis!$E$6:$E$35),Analysis!$E$6:$E$35,0))&amp;" (avg $"&amp;TEXT(MAX(Analysis!$E$6:$E$35),"#,##0.0")&amp;"k)"</f>
        <v>Porsche (avg $62.5k)</v>
      </c>
      <c r="C17" s="34"/>
      <c r="D17" s="34"/>
      <c r="E17" s="34"/>
      <c r="F17" s="34"/>
    </row>
    <row r="19" spans="2:6" ht="22.2" customHeight="1" x14ac:dyDescent="0.3">
      <c r="B19" s="33" t="s">
        <v>15</v>
      </c>
      <c r="C19" s="33"/>
      <c r="D19" s="33"/>
      <c r="E19" s="33"/>
      <c r="F19" s="33"/>
    </row>
    <row r="20" spans="2:6" ht="18" customHeight="1" x14ac:dyDescent="0.3">
      <c r="B20" s="34" t="str">
        <f>IF(CORREL('Cleaned Data'!$E$2:$E$158,'Cleaned Data'!$D$2:$D$158)&lt;0,"Yes — price and units sold are negatively correlated (correlation: "&amp;TEXT(CORREL('Cleaned Data'!$E$2:$E$158,'Cleaned Data'!$D$2:$D$158),"0.00")&amp;"). See the Price vs Units Sold scatter chart.","No clear negative relationship (correlation: "&amp;TEXT(CORREL('Cleaned Data'!$E$2:$E$158,'Cleaned Data'!$D$2:$D$158),"0.00")&amp;").")</f>
        <v>Yes — price and units sold are negatively correlated (correlation: -0.30). See the Price vs Units Sold scatter chart.</v>
      </c>
      <c r="C20" s="34"/>
      <c r="D20" s="34"/>
      <c r="E20" s="34"/>
      <c r="F20" s="34"/>
    </row>
  </sheetData>
  <mergeCells count="12">
    <mergeCell ref="B16:F16"/>
    <mergeCell ref="B17:F17"/>
    <mergeCell ref="B19:F19"/>
    <mergeCell ref="B20:F20"/>
    <mergeCell ref="B11:F11"/>
    <mergeCell ref="B13:F13"/>
    <mergeCell ref="B14:F14"/>
    <mergeCell ref="B4:F4"/>
    <mergeCell ref="B5:F5"/>
    <mergeCell ref="B7:F7"/>
    <mergeCell ref="B8:F8"/>
    <mergeCell ref="B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Dashboard</vt:lpstr>
      <vt:lpstr>Analysis</vt:lpstr>
      <vt:lpstr>Lookup</vt:lpstr>
      <vt:lpstr>Business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GOKUL Prasad</cp:lastModifiedBy>
  <cp:revision>1</cp:revision>
  <dcterms:created xsi:type="dcterms:W3CDTF">2026-09-14T08:56:45Z</dcterms:created>
  <dcterms:modified xsi:type="dcterms:W3CDTF">2026-09-15T11:50:07Z</dcterms:modified>
  <dc:language>en-US</dc:language>
</cp:coreProperties>
</file>